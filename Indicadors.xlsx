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/>
  <xr:revisionPtr revIDLastSave="557" documentId="11_15815E029050AA869F0737BB005C1842E2F91B6F" xr6:coauthVersionLast="47" xr6:coauthVersionMax="47" xr10:uidLastSave="{BB10BA36-69AF-4C67-96E3-0C2F284521EC}"/>
  <bookViews>
    <workbookView xWindow="0" yWindow="0" windowWidth="0" windowHeight="0" firstSheet="2" activeTab="4" xr2:uid="{00000000-000D-0000-FFFF-FFFF00000000}"/>
  </bookViews>
  <sheets>
    <sheet name="Indicadors_previs " sheetId="1" r:id="rId1"/>
    <sheet name="Contingut_llista_desplegable" sheetId="5" r:id="rId2"/>
    <sheet name="Indicadors_observació" sheetId="2" r:id="rId3"/>
    <sheet name="Imprimir" sheetId="3" r:id="rId4"/>
    <sheet name="mapa_localitzacions" sheetId="4" r:id="rId5"/>
    <sheet name="Socioeconòmic_District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nZmj8i1wNFzBf+0TohpEznZzIBfogwNHM5E6jYr1NjI="/>
    </ext>
  </extLst>
</workbook>
</file>

<file path=xl/calcChain.xml><?xml version="1.0" encoding="utf-8"?>
<calcChain xmlns="http://schemas.openxmlformats.org/spreadsheetml/2006/main">
  <c r="A8" i="4" l="1"/>
  <c r="A7" i="4"/>
  <c r="A6" i="4"/>
  <c r="A2" i="4"/>
  <c r="A5" i="4"/>
  <c r="A4" i="4"/>
  <c r="A3" i="4"/>
</calcChain>
</file>

<file path=xl/sharedStrings.xml><?xml version="1.0" encoding="utf-8"?>
<sst xmlns="http://schemas.openxmlformats.org/spreadsheetml/2006/main" count="532" uniqueCount="276">
  <si>
    <t>Districte</t>
  </si>
  <si>
    <t>Barri</t>
  </si>
  <si>
    <t>Zona</t>
  </si>
  <si>
    <t>Xeringues</t>
  </si>
  <si>
    <t>Veïnat</t>
  </si>
  <si>
    <t>Usuàries</t>
  </si>
  <si>
    <t>       Serveis de l’ASPB de drogues</t>
  </si>
  <si>
    <t>Coordinar amb altres entitats socials (SASSEP, ESMES, Gestió conflictes)</t>
  </si>
  <si>
    <t>Taules de coordinació</t>
  </si>
  <si>
    <t>Equips de Neteja</t>
  </si>
  <si>
    <t>Cossos de seguretat</t>
  </si>
  <si>
    <t xml:space="preserve"> Farmàcies</t>
  </si>
  <si>
    <t>Serveis Sanitaris</t>
  </si>
  <si>
    <t>Serveis Socials</t>
  </si>
  <si>
    <t>Agents cívics</t>
  </si>
  <si>
    <t>Altres (escoles, centres cívics)</t>
  </si>
  <si>
    <t>Observacions</t>
  </si>
  <si>
    <t>Sant Martí</t>
  </si>
  <si>
    <t>El Clot</t>
  </si>
  <si>
    <t>Parc del Clot</t>
  </si>
  <si>
    <t>Si</t>
  </si>
  <si>
    <t>No</t>
  </si>
  <si>
    <t xml:space="preserve">1. Urbaser, BCNeta 
2. Sorigué
3. Farmàcia Montserrat Sánchez
</t>
  </si>
  <si>
    <t>Escola Jesuïtes del Clot</t>
  </si>
  <si>
    <t>1. Escola Jesuïtes (Joaquim Molina, director)
2. MM.EE.</t>
  </si>
  <si>
    <t>Parc de Glories</t>
  </si>
  <si>
    <t>1. Metabus
2.BCNeta
3. Treballador Hub Museo Disseny Barcelona</t>
  </si>
  <si>
    <t>Provençals del Poblenou</t>
  </si>
  <si>
    <t>Escola pública Provençals</t>
  </si>
  <si>
    <t>1. Esola Provençals, Nuria Diaz (secretària)
2. Cuidem Barcelona</t>
  </si>
  <si>
    <t xml:space="preserve">Sant Martí </t>
  </si>
  <si>
    <t>El Poblenou</t>
  </si>
  <si>
    <t>Can Framis</t>
  </si>
  <si>
    <t>1. Serveis de Neteja 
2. Gerent del Museu Can Framis</t>
  </si>
  <si>
    <t>Ciutat Vella</t>
  </si>
  <si>
    <t>La Barceloneta</t>
  </si>
  <si>
    <t xml:space="preserve">Barri </t>
  </si>
  <si>
    <t>CODI_UA</t>
  </si>
  <si>
    <t>Eixample</t>
  </si>
  <si>
    <t>El Carmel</t>
  </si>
  <si>
    <t>El Raval</t>
  </si>
  <si>
    <t>01</t>
  </si>
  <si>
    <t>Injectada</t>
  </si>
  <si>
    <t>Gràcia</t>
  </si>
  <si>
    <t>La Font d'en Fargues</t>
  </si>
  <si>
    <t>El Barri Gòtic</t>
  </si>
  <si>
    <t>02</t>
  </si>
  <si>
    <t>Fumada</t>
  </si>
  <si>
    <t>Horta-Guinardó</t>
  </si>
  <si>
    <t>Baró de Viver</t>
  </si>
  <si>
    <t>03</t>
  </si>
  <si>
    <t>Les Corts</t>
  </si>
  <si>
    <t>El Poble-sec</t>
  </si>
  <si>
    <t>Sant Pere, Santa Caterina i la Ribera</t>
  </si>
  <si>
    <t>04</t>
  </si>
  <si>
    <t>Nou Barris</t>
  </si>
  <si>
    <t>El Besòs i el Maresme</t>
  </si>
  <si>
    <t>El Fort Pienc</t>
  </si>
  <si>
    <t>05</t>
  </si>
  <si>
    <t>Sant Andreu</t>
  </si>
  <si>
    <t>La Marina de Port</t>
  </si>
  <si>
    <t>La Sagrada Família</t>
  </si>
  <si>
    <t>06</t>
  </si>
  <si>
    <t>La Dreta de l'Eixample</t>
  </si>
  <si>
    <t>07</t>
  </si>
  <si>
    <t>Sants-Montjuïc</t>
  </si>
  <si>
    <t>Can Baró</t>
  </si>
  <si>
    <t>L'Antiga Esquerra de l'Eixample</t>
  </si>
  <si>
    <t>08</t>
  </si>
  <si>
    <t>Sarrià-Sant Gervasi</t>
  </si>
  <si>
    <t>Can Peguera</t>
  </si>
  <si>
    <t>La Nova Esquerra de l'Eixample</t>
  </si>
  <si>
    <t>09</t>
  </si>
  <si>
    <t>Sant Antoni</t>
  </si>
  <si>
    <t>10</t>
  </si>
  <si>
    <t>La Sagrera</t>
  </si>
  <si>
    <t>11</t>
  </si>
  <si>
    <t>La Marina del Prat Vermell</t>
  </si>
  <si>
    <t>12</t>
  </si>
  <si>
    <t>La Maternitat i Sant Ramon</t>
  </si>
  <si>
    <t>13</t>
  </si>
  <si>
    <t>La Clota</t>
  </si>
  <si>
    <t>La Font de la Guatlla</t>
  </si>
  <si>
    <t>14</t>
  </si>
  <si>
    <t>Hostafrancs</t>
  </si>
  <si>
    <t>15</t>
  </si>
  <si>
    <t>Vallbona</t>
  </si>
  <si>
    <t>La Bordeta</t>
  </si>
  <si>
    <t>16</t>
  </si>
  <si>
    <t>Turó de la Peira</t>
  </si>
  <si>
    <t>Sants-Badal</t>
  </si>
  <si>
    <t>17</t>
  </si>
  <si>
    <t>Navas</t>
  </si>
  <si>
    <t>Sants</t>
  </si>
  <si>
    <t>18</t>
  </si>
  <si>
    <t>La Salut</t>
  </si>
  <si>
    <t>19</t>
  </si>
  <si>
    <t>20</t>
  </si>
  <si>
    <t>Pedralbes</t>
  </si>
  <si>
    <t>21</t>
  </si>
  <si>
    <t>Vallcarca i els Penitents</t>
  </si>
  <si>
    <t>Vallvidrera, el Tibidabo i les Planes</t>
  </si>
  <si>
    <t>22</t>
  </si>
  <si>
    <t>Sarrià</t>
  </si>
  <si>
    <t>23</t>
  </si>
  <si>
    <t>Les Tres Torres</t>
  </si>
  <si>
    <t>24</t>
  </si>
  <si>
    <t>Sant Gervasi - la Bonanova</t>
  </si>
  <si>
    <t>25</t>
  </si>
  <si>
    <t>Sant Gervasi - Galvany</t>
  </si>
  <si>
    <t>26</t>
  </si>
  <si>
    <t>Vilapicina i la Torre Llobeta</t>
  </si>
  <si>
    <t>El Putxet i el Farró</t>
  </si>
  <si>
    <t>27</t>
  </si>
  <si>
    <t>El Guinardó</t>
  </si>
  <si>
    <t>28</t>
  </si>
  <si>
    <t>La Vall d'Hebron</t>
  </si>
  <si>
    <t>El Coll</t>
  </si>
  <si>
    <t>29</t>
  </si>
  <si>
    <t>30</t>
  </si>
  <si>
    <t>Ciutat Meridiana</t>
  </si>
  <si>
    <t>Vila de Gràcia</t>
  </si>
  <si>
    <t>31</t>
  </si>
  <si>
    <t>El Congrés i els Indians</t>
  </si>
  <si>
    <t>El Camp d'en Grassot i Gràcia Nova</t>
  </si>
  <si>
    <t>32</t>
  </si>
  <si>
    <t>Diagonal Mar i el Front Marítim del Poblenou</t>
  </si>
  <si>
    <t>El Baix Guinardó</t>
  </si>
  <si>
    <t>33</t>
  </si>
  <si>
    <t>34</t>
  </si>
  <si>
    <t>35</t>
  </si>
  <si>
    <t>36</t>
  </si>
  <si>
    <t>La Verneda i la Pau</t>
  </si>
  <si>
    <t>37</t>
  </si>
  <si>
    <t>Sant Martí de Provençals</t>
  </si>
  <si>
    <t>La Teixonera</t>
  </si>
  <si>
    <t>38</t>
  </si>
  <si>
    <t>Porta</t>
  </si>
  <si>
    <t>Sant Genís dels Agudells</t>
  </si>
  <si>
    <t>39</t>
  </si>
  <si>
    <t>La Vila Olímpica del Poblenou</t>
  </si>
  <si>
    <t>Montbau</t>
  </si>
  <si>
    <t>40</t>
  </si>
  <si>
    <t>La Guineueta</t>
  </si>
  <si>
    <t>41</t>
  </si>
  <si>
    <t>42</t>
  </si>
  <si>
    <t>Horta</t>
  </si>
  <si>
    <t>43</t>
  </si>
  <si>
    <t>44</t>
  </si>
  <si>
    <t>Verdun</t>
  </si>
  <si>
    <t>45</t>
  </si>
  <si>
    <t>46</t>
  </si>
  <si>
    <t>La Prosperitat</t>
  </si>
  <si>
    <t>47</t>
  </si>
  <si>
    <t>48</t>
  </si>
  <si>
    <t>Canyelles</t>
  </si>
  <si>
    <t>49</t>
  </si>
  <si>
    <t>Les Roquetes</t>
  </si>
  <si>
    <t>50</t>
  </si>
  <si>
    <t>51</t>
  </si>
  <si>
    <t>52</t>
  </si>
  <si>
    <t>La Trinitat Nova</t>
  </si>
  <si>
    <t>53</t>
  </si>
  <si>
    <t>Torre Baró</t>
  </si>
  <si>
    <t>54</t>
  </si>
  <si>
    <t>55</t>
  </si>
  <si>
    <t>56</t>
  </si>
  <si>
    <t>El Camp de l'Arpa del Clot</t>
  </si>
  <si>
    <t>La Trinitat Vella</t>
  </si>
  <si>
    <t>57</t>
  </si>
  <si>
    <t>58</t>
  </si>
  <si>
    <t>El Bon Pastor</t>
  </si>
  <si>
    <t>59</t>
  </si>
  <si>
    <t>60</t>
  </si>
  <si>
    <t>El Parc i la Llacuna del Poblenou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</si>
  <si>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</si>
  <si>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</si>
  <si>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</si>
  <si>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</si>
  <si>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</si>
  <si>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</si>
  <si>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</si>
  <si>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</si>
  <si>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</si>
  <si>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</si>
  <si>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</si>
  <si>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</si>
  <si>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</si>
  <si>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Baix</t>
  </si>
  <si>
    <t>Mig</t>
  </si>
  <si>
    <t>Alt</t>
  </si>
  <si>
    <t>Data</t>
  </si>
  <si>
    <t>Hora</t>
  </si>
  <si>
    <t xml:space="preserve">Usuaries vista </t>
  </si>
  <si>
    <t xml:space="preserve">Usuaries consumint </t>
  </si>
  <si>
    <t>RC: H</t>
  </si>
  <si>
    <t>Cant.</t>
  </si>
  <si>
    <t>RC: CC</t>
  </si>
  <si>
    <t>RC: MT</t>
  </si>
  <si>
    <t>RC:Desc.</t>
  </si>
  <si>
    <t>CaC: H</t>
  </si>
  <si>
    <t>CaC: CC</t>
  </si>
  <si>
    <t>CaC: MT</t>
  </si>
  <si>
    <t>CaC: Desc.</t>
  </si>
  <si>
    <t>Assentaments</t>
  </si>
  <si>
    <t>Altres (veïns,escoles, centres cívics...)</t>
  </si>
  <si>
    <t>Persona de contacte</t>
  </si>
  <si>
    <t>10:00-13:00</t>
  </si>
  <si>
    <t>Parc del Clot- Escola Jesuïtes del Clot-
Centre de Día Meridiana- Menjador Social Navas</t>
  </si>
  <si>
    <t xml:space="preserve">1. Joaquim Molina (Director de l'Escola Jesuïtes del Clot)
2. Miguel /Rosa (Farmacia Vendrell)
3. Treballador Centre de Día Meridiana 
4. Directora Menjador Social Navas </t>
  </si>
  <si>
    <t xml:space="preserve"> Farmacia Vendrell  Tlf: 673061662</t>
  </si>
  <si>
    <t>8:30-9:00 
11:30-12:00</t>
  </si>
  <si>
    <t>Metabus (Lateral Meridiana entre c/ de Bolivia i Pamplona) - 
Parc de les Glòries</t>
  </si>
  <si>
    <t xml:space="preserve">1. Metabus (Jordi i Chenta, treballadores Metabus)
2. Treballadors del solar c/Cartagena </t>
  </si>
  <si>
    <t>Erick González, coordinador Metabus
 tlf: 671159136</t>
  </si>
  <si>
    <t>9:00-11:30</t>
  </si>
  <si>
    <t>Parc (Av. Meridiana amb C/Sancho de Ávila)-
Museu Can Framis -  Benzinera c/ Roc Boronat 44 - 
Parc del Poblenou</t>
  </si>
  <si>
    <t>1. Cuidem Barcelona (Servei Neteja)
2. Cuidem Barcelona (Servei Jardineria)
3. Nacho (Director Centre d'Acolliment d'Emergencies i 
CUAP)</t>
  </si>
  <si>
    <t>17:15-19:45</t>
  </si>
  <si>
    <t>Menjador Social Navas-Centre de Día Meridiana-
Escola Jesuïtes del Clot-Parc del Clot</t>
  </si>
  <si>
    <t>1. Treballadores Centre de Dia Meridiana 
2. Negocis propers al Centre de Dia Meridiana
3. Veïns  parc (C/ València,716)
4. Veïns Parc del Clot</t>
  </si>
  <si>
    <t>14/03/20205</t>
  </si>
  <si>
    <t>18:15-21:00</t>
  </si>
  <si>
    <t>Parc Central del Poblenou - Escola Pública Provençals 
-  Casal Ca l'isidret</t>
  </si>
  <si>
    <t>1. Veï Escola Pública Provençals
2. Xevi (Treballador Casal Ca l'Isidret)
3. Treballadora Farmacia Mariona Solà</t>
  </si>
  <si>
    <t>9:00-12:30</t>
  </si>
  <si>
    <t>Escola Pública Provençals-
Casal Ca l'isidret -
Parc Central del Poblenou</t>
  </si>
  <si>
    <t>1. Cuidem Barcelona (Servei Neteja)
2. Guàrdia Urbana ( Cossos de seguretat)
3. Veïns zona descampat (C/ Josep Pla amb C/ Puigcerdà)
4. Cuidem Barcelona (Servei Jardineria)
5. CAP Poblenou</t>
  </si>
  <si>
    <t>19:30-21:30</t>
  </si>
  <si>
    <t>Parc del Poblenou - Rambla del Poblenou-
Museu Can Framis - Parc (Av. Meridiana amb C/Sancho de Ávila)</t>
  </si>
  <si>
    <t>1. Farmacia Marta Diaz Pérez
2. Farmacia Almirall
3. Farmacia Audet
4. Farmacia Montse Villar
5. Casal de barri del Poblenou
6. Centre Civic Can Felipa</t>
  </si>
  <si>
    <t>8.30-9.00h</t>
  </si>
  <si>
    <t>Metabus (Lateral Meridiana entre c/ de Bolivia i Pamplona)</t>
  </si>
  <si>
    <t>1. Metabus (Erick González, coordinador)</t>
  </si>
  <si>
    <t>9:00-10:15</t>
  </si>
  <si>
    <t>1. Cuidem Barcelona (Servei Neteja)
2. Treballadores CAP Clot
3. Farmacia Arranz-Sallés
4. Veïns parc del Clot
5. Associació de Veïns del Clot - Camp de l'Arpa</t>
  </si>
  <si>
    <t xml:space="preserve">    Usuaries vista </t>
  </si>
  <si>
    <t>Restes de consum</t>
  </si>
  <si>
    <t>Consum al carrer</t>
  </si>
  <si>
    <t>Contacte amb la comunítat</t>
  </si>
  <si>
    <t>Heroïna</t>
  </si>
  <si>
    <t>Cocaina</t>
  </si>
  <si>
    <t>Metanfetamina</t>
  </si>
  <si>
    <t>Altres</t>
  </si>
  <si>
    <t>Crack</t>
  </si>
  <si>
    <t>Coordenades
(longitud, latitud)</t>
  </si>
  <si>
    <t xml:space="preserve"> Restes de consum: Injectada</t>
  </si>
  <si>
    <t xml:space="preserve"> Restes de consum: Fumada</t>
  </si>
  <si>
    <t>2.191680, 41.412761</t>
  </si>
  <si>
    <t>2.190357, 41.408809</t>
  </si>
  <si>
    <t>2.207457, 41.397040</t>
  </si>
  <si>
    <t>2.206591, 41.41262</t>
  </si>
  <si>
    <t>2.208841, 41.415560</t>
  </si>
  <si>
    <t>Renda mitjana
 anual/persona</t>
  </si>
  <si>
    <t>Población 
ocupada (%)</t>
  </si>
  <si>
    <t>Nivell Socioeconòmic</t>
  </si>
  <si>
    <t>66.9</t>
  </si>
  <si>
    <t>Glories</t>
  </si>
  <si>
    <t>Trinitat Nova</t>
  </si>
  <si>
    <t xml:space="preserve"> Provençals del Poblenou</t>
  </si>
  <si>
    <t>67.1</t>
  </si>
  <si>
    <t>Poblenou</t>
  </si>
  <si>
    <t>68.7</t>
  </si>
  <si>
    <t>Sant Gervasi - La Bonanova</t>
  </si>
  <si>
    <t>El Besòs i El Maresme</t>
  </si>
  <si>
    <t>Link: https://www.idescat.cat/pub/?id=ist&amp;n=14075&amp;geo=mun:080193&amp;lang=es</t>
  </si>
  <si>
    <t>Idescat. Indicadores básicos de Cataluña. Renta media neta anual de los hogares. Por sexo.</t>
  </si>
  <si>
    <t>Renda mitjana pers/any</t>
  </si>
  <si>
    <t>Classe baixa</t>
  </si>
  <si>
    <t>&lt;11.583€</t>
  </si>
  <si>
    <t>Classe mitja</t>
  </si>
  <si>
    <t>11.583€-41.365€</t>
  </si>
  <si>
    <t>Classe alta</t>
  </si>
  <si>
    <t>&gt;4.1365€</t>
  </si>
  <si>
    <t xml:space="preserve">Mitjana Población 
ocupada (%) </t>
  </si>
  <si>
    <t>56.1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</si>
</sst>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164" formatCode="d/m/yyyy"/>
    <numFmt numFmtId="165" formatCode="[$-F400]h:mm:ss\ AM/PM"/>
    <numFmt numFmtId="166" formatCode="#,##0.00\ [$€-1]"/>
    <numFmt numFmtId="167" formatCode="#,##0.00&quot;€&quot;"/>
  </numFmts>
  <fonts count="25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ptos Narrow"/>
    </font>
    <font>
      <sz val="12"/>
      <color theme="1"/>
      <name val="Aptos"/>
    </font>
    <font>
      <sz val="12"/>
      <color theme="1"/>
      <name val="Arial"/>
    </font>
    <font>
      <sz val="11"/>
      <color theme="1"/>
      <name val="Aptos Narrow"/>
      <scheme val="minor"/>
    </font>
    <font>
      <b/>
      <sz val="10"/>
      <color theme="1"/>
      <name val="Aptos Narrow"/>
    </font>
    <font>
      <b/>
      <sz val="9"/>
      <color theme="1"/>
      <name val="Aptos Narrow"/>
    </font>
    <font>
      <b/>
      <sz val="12"/>
      <color theme="1"/>
      <name val="Aptos Narrow"/>
    </font>
    <font>
      <sz val="11"/>
      <name val="Aptos Narrow"/>
    </font>
    <font>
      <b/>
      <sz val="14"/>
      <color theme="1"/>
      <name val="Aptos Narrow"/>
    </font>
    <font>
      <sz val="10"/>
      <color theme="1"/>
      <name val="Arial"/>
    </font>
    <font>
      <sz val="10"/>
      <color theme="1"/>
      <name val="Aptos Narrow"/>
    </font>
    <font>
      <sz val="11"/>
      <color rgb="FFFF0000"/>
      <name val="Arial"/>
    </font>
    <font>
      <b/>
      <sz val="12"/>
      <color theme="1"/>
      <name val="Arial"/>
    </font>
    <font>
      <b/>
      <sz val="14"/>
      <color theme="1"/>
      <name val="Arial"/>
    </font>
    <font>
      <sz val="11"/>
      <color rgb="FF000000"/>
      <name val="&quot;Open Sans&quot;"/>
    </font>
    <font>
      <u/>
      <sz val="11"/>
      <color rgb="FF0000FF"/>
      <name val="Arial"/>
    </font>
    <font>
      <sz val="11"/>
      <color rgb="FF000000"/>
      <name val="Arial"/>
    </font>
    <font>
      <sz val="11"/>
      <color rgb="FF000000"/>
      <name val="Aptos"/>
    </font>
    <font>
      <sz val="11"/>
      <color rgb="FF000000"/>
      <name val="Aptos Narrow"/>
    </font>
    <font>
      <sz val="11"/>
      <color theme="1"/>
      <name val="Aptos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83CAEB"/>
        <bgColor rgb="FF83CAEB"/>
      </patternFill>
    </fill>
    <fill>
      <patternFill patternType="solid">
        <fgColor theme="0"/>
        <bgColor theme="0"/>
      </patternFill>
    </fill>
    <fill>
      <patternFill patternType="solid">
        <fgColor rgb="FFF6C6AC"/>
        <bgColor rgb="FFF6C6AC"/>
      </patternFill>
    </fill>
    <fill>
      <patternFill patternType="solid">
        <fgColor rgb="FF95DCF7"/>
        <bgColor rgb="FF95DCF7"/>
      </patternFill>
    </fill>
    <fill>
      <patternFill patternType="solid">
        <fgColor rgb="FFE49EDD"/>
        <bgColor rgb="FFE49EDD"/>
      </patternFill>
    </fill>
    <fill>
      <patternFill patternType="solid">
        <fgColor rgb="FF84E291"/>
        <bgColor rgb="FF84E291"/>
      </patternFill>
    </fill>
    <fill>
      <patternFill patternType="solid">
        <fgColor rgb="FFB3E5A1"/>
        <bgColor rgb="FFB3E5A1"/>
      </patternFill>
    </fill>
    <fill>
      <patternFill patternType="solid">
        <fgColor rgb="FFB57FEB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2" fillId="2" borderId="4" xfId="0" applyFont="1" applyFill="1" applyBorder="1" applyAlignment="1">
      <alignment horizontal="center" vertical="center"/>
    </xf>
    <xf numFmtId="164" fontId="14" fillId="0" borderId="26" xfId="0" applyNumberFormat="1" applyFont="1" applyBorder="1" applyAlignment="1">
      <alignment horizontal="center" vertical="center"/>
    </xf>
    <xf numFmtId="165" fontId="15" fillId="0" borderId="27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164" fontId="14" fillId="0" borderId="29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/>
    <xf numFmtId="164" fontId="3" fillId="0" borderId="29" xfId="0" applyNumberFormat="1" applyFont="1" applyBorder="1" applyAlignment="1">
      <alignment horizontal="center" vertical="center"/>
    </xf>
    <xf numFmtId="0" fontId="5" fillId="0" borderId="30" xfId="0" applyFont="1" applyBorder="1"/>
    <xf numFmtId="14" fontId="3" fillId="0" borderId="29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4" xfId="0" applyFont="1" applyBorder="1"/>
    <xf numFmtId="0" fontId="5" fillId="0" borderId="32" xfId="0" applyFont="1" applyBorder="1"/>
    <xf numFmtId="0" fontId="5" fillId="0" borderId="18" xfId="0" applyFont="1" applyBorder="1"/>
    <xf numFmtId="0" fontId="2" fillId="6" borderId="24" xfId="0" applyFont="1" applyFill="1" applyBorder="1" applyAlignment="1">
      <alignment horizontal="center" vertical="center" textRotation="90" wrapText="1"/>
    </xf>
    <xf numFmtId="0" fontId="2" fillId="6" borderId="24" xfId="0" applyFont="1" applyFill="1" applyBorder="1" applyAlignment="1">
      <alignment horizontal="center" vertical="center" textRotation="90"/>
    </xf>
    <xf numFmtId="0" fontId="2" fillId="7" borderId="24" xfId="0" applyFont="1" applyFill="1" applyBorder="1" applyAlignment="1">
      <alignment horizontal="center" vertical="center" textRotation="90" wrapText="1"/>
    </xf>
    <xf numFmtId="0" fontId="2" fillId="7" borderId="24" xfId="0" applyFont="1" applyFill="1" applyBorder="1" applyAlignment="1">
      <alignment horizontal="center" vertical="center" textRotation="90"/>
    </xf>
    <xf numFmtId="0" fontId="5" fillId="0" borderId="26" xfId="0" applyFont="1" applyBorder="1"/>
    <xf numFmtId="0" fontId="5" fillId="0" borderId="27" xfId="0" applyFont="1" applyBorder="1"/>
    <xf numFmtId="0" fontId="6" fillId="0" borderId="27" xfId="0" applyFont="1" applyBorder="1" applyAlignment="1">
      <alignment horizontal="left" vertical="center"/>
    </xf>
    <xf numFmtId="0" fontId="5" fillId="0" borderId="28" xfId="0" applyFont="1" applyBorder="1"/>
    <xf numFmtId="0" fontId="5" fillId="0" borderId="29" xfId="0" applyFont="1" applyBorder="1"/>
    <xf numFmtId="0" fontId="6" fillId="0" borderId="1" xfId="0" applyFont="1" applyBorder="1" applyAlignment="1">
      <alignment horizontal="left" vertical="center" wrapText="1"/>
    </xf>
    <xf numFmtId="0" fontId="5" fillId="0" borderId="31" xfId="0" applyFont="1" applyBorder="1"/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1" fillId="0" borderId="0" xfId="0" applyFont="1" applyAlignment="1">
      <alignment horizontal="center" vertical="center"/>
    </xf>
    <xf numFmtId="0" fontId="3" fillId="0" borderId="0" xfId="0" applyFont="1"/>
    <xf numFmtId="0" fontId="11" fillId="0" borderId="33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8" fillId="0" borderId="0" xfId="0" applyFont="1"/>
    <xf numFmtId="49" fontId="8" fillId="0" borderId="0" xfId="0" applyNumberFormat="1" applyFont="1"/>
    <xf numFmtId="0" fontId="2" fillId="10" borderId="1" xfId="0" applyFont="1" applyFill="1" applyBorder="1"/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19" fillId="0" borderId="0" xfId="0" applyNumberFormat="1" applyFont="1" applyAlignment="1">
      <alignment horizontal="center"/>
    </xf>
    <xf numFmtId="0" fontId="20" fillId="0" borderId="0" xfId="0" applyFont="1"/>
    <xf numFmtId="0" fontId="2" fillId="0" borderId="34" xfId="0" applyFont="1" applyBorder="1" applyAlignment="1">
      <alignment horizontal="center" vertical="center"/>
    </xf>
    <xf numFmtId="6" fontId="2" fillId="0" borderId="35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66" fontId="3" fillId="0" borderId="39" xfId="0" applyNumberFormat="1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6" fontId="1" fillId="0" borderId="35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/>
    <xf numFmtId="49" fontId="1" fillId="2" borderId="1" xfId="0" applyNumberFormat="1" applyFont="1" applyFill="1" applyBorder="1" applyAlignment="1">
      <alignment horizontal="center"/>
    </xf>
    <xf numFmtId="49" fontId="3" fillId="0" borderId="1" xfId="0" applyNumberFormat="1" applyFont="1" applyBorder="1"/>
    <xf numFmtId="0" fontId="1" fillId="0" borderId="0" xfId="0" applyFont="1"/>
    <xf numFmtId="14" fontId="5" fillId="0" borderId="29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5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9" fillId="6" borderId="3" xfId="0" applyFont="1" applyFill="1" applyBorder="1" applyAlignment="1">
      <alignment vertical="center"/>
    </xf>
    <xf numFmtId="0" fontId="10" fillId="6" borderId="3" xfId="0" applyFont="1" applyFill="1" applyBorder="1" applyAlignment="1">
      <alignment vertical="center"/>
    </xf>
    <xf numFmtId="0" fontId="9" fillId="6" borderId="5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 wrapText="1"/>
    </xf>
    <xf numFmtId="0" fontId="11" fillId="11" borderId="19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/>
    </xf>
    <xf numFmtId="0" fontId="9" fillId="8" borderId="7" xfId="0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9" borderId="4" xfId="0" applyFont="1" applyFill="1" applyBorder="1" applyAlignment="1">
      <alignment vertical="center"/>
    </xf>
    <xf numFmtId="0" fontId="1" fillId="9" borderId="16" xfId="0" applyFont="1" applyFill="1" applyBorder="1" applyAlignment="1">
      <alignment vertical="center"/>
    </xf>
    <xf numFmtId="0" fontId="5" fillId="12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 textRotation="90"/>
    </xf>
    <xf numFmtId="0" fontId="9" fillId="6" borderId="3" xfId="0" applyFont="1" applyFill="1" applyBorder="1" applyAlignment="1">
      <alignment horizontal="center" vertical="center" textRotation="90"/>
    </xf>
    <xf numFmtId="0" fontId="11" fillId="6" borderId="5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 textRotation="90"/>
    </xf>
    <xf numFmtId="0" fontId="13" fillId="6" borderId="19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 vertical="center" textRotation="90"/>
    </xf>
    <xf numFmtId="0" fontId="2" fillId="9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/>
    </xf>
    <xf numFmtId="0" fontId="1" fillId="2" borderId="16" xfId="0" applyFont="1" applyFill="1" applyBorder="1" applyAlignment="1">
      <alignment horizontal="left" vertical="center"/>
    </xf>
    <xf numFmtId="0" fontId="12" fillId="0" borderId="6" xfId="0" applyFont="1" applyBorder="1" applyAlignment="1"/>
    <xf numFmtId="0" fontId="12" fillId="0" borderId="7" xfId="0" applyFont="1" applyBorder="1" applyAlignment="1"/>
    <xf numFmtId="0" fontId="12" fillId="0" borderId="9" xfId="0" applyFont="1" applyBorder="1" applyAlignment="1"/>
    <xf numFmtId="0" fontId="12" fillId="0" borderId="10" xfId="0" applyFont="1" applyBorder="1" applyAlignment="1"/>
    <xf numFmtId="0" fontId="12" fillId="0" borderId="12" xfId="0" applyFont="1" applyBorder="1" applyAlignment="1"/>
    <xf numFmtId="0" fontId="12" fillId="0" borderId="16" xfId="0" applyFont="1" applyBorder="1" applyAlignment="1"/>
    <xf numFmtId="0" fontId="12" fillId="0" borderId="13" xfId="0" applyFont="1" applyBorder="1" applyAlignment="1"/>
    <xf numFmtId="0" fontId="12" fillId="0" borderId="14" xfId="0" applyFont="1" applyBorder="1" applyAlignment="1"/>
    <xf numFmtId="0" fontId="12" fillId="0" borderId="15" xfId="0" applyFont="1" applyBorder="1" applyAlignment="1"/>
    <xf numFmtId="0" fontId="12" fillId="0" borderId="17" xfId="0" applyFont="1" applyBorder="1" applyAlignment="1"/>
    <xf numFmtId="0" fontId="12" fillId="0" borderId="20" xfId="0" applyFont="1" applyBorder="1" applyAlignment="1"/>
    <xf numFmtId="0" fontId="12" fillId="0" borderId="21" xfId="0" applyFont="1" applyBorder="1" applyAlignment="1"/>
    <xf numFmtId="0" fontId="12" fillId="0" borderId="22" xfId="0" applyFont="1" applyBorder="1" applyAlignment="1"/>
    <xf numFmtId="0" fontId="12" fillId="0" borderId="23" xfId="0" applyFont="1" applyBorder="1" applyAlignment="1"/>
    <xf numFmtId="0" fontId="12" fillId="0" borderId="25" xfId="0" applyFont="1" applyBorder="1" applyAlignment="1"/>
  </cellXfs>
  <cellStyles count="1">
    <cellStyle name="Normal" xfId="0" builtinId="0"/>
  </cellStyles>
  <dxfs count="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B57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escat.cat/indicadors/?id=basics&amp;n=10409&amp;lang=es&amp;tema=cvi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1" sqref="C1"/>
    </sheetView>
  </sheetViews>
  <sheetFormatPr defaultColWidth="12.5703125" defaultRowHeight="15" customHeight="1"/>
  <cols>
    <col min="1" max="1" width="12" customWidth="1"/>
    <col min="2" max="2" width="25.28515625" bestFit="1" customWidth="1"/>
    <col min="3" max="3" width="28.5703125" bestFit="1" customWidth="1"/>
    <col min="4" max="4" width="10" bestFit="1" customWidth="1"/>
    <col min="5" max="6" width="10.5703125" customWidth="1"/>
    <col min="7" max="7" width="31.140625" customWidth="1"/>
    <col min="8" max="8" width="70.140625" customWidth="1"/>
    <col min="9" max="9" width="23.42578125" customWidth="1"/>
    <col min="10" max="10" width="16.7109375" customWidth="1"/>
    <col min="11" max="11" width="21.42578125" customWidth="1"/>
    <col min="12" max="12" width="10.5703125" customWidth="1"/>
    <col min="13" max="13" width="16.85546875" customWidth="1"/>
    <col min="14" max="15" width="14.42578125" customWidth="1"/>
    <col min="16" max="16" width="28.140625" customWidth="1"/>
    <col min="17" max="17" width="38.85546875" customWidth="1"/>
    <col min="18" max="26" width="10.5703125" customWidth="1"/>
  </cols>
  <sheetData>
    <row r="1" spans="1:26" ht="36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26" ht="57.75">
      <c r="A2" s="5" t="s">
        <v>17</v>
      </c>
      <c r="B2" s="6" t="s">
        <v>18</v>
      </c>
      <c r="C2" s="7" t="s">
        <v>19</v>
      </c>
      <c r="D2" s="7"/>
      <c r="E2" s="5" t="s">
        <v>20</v>
      </c>
      <c r="F2" s="8" t="s">
        <v>21</v>
      </c>
      <c r="G2" s="8" t="s">
        <v>21</v>
      </c>
      <c r="H2" s="8" t="s">
        <v>21</v>
      </c>
      <c r="I2" s="8" t="s">
        <v>21</v>
      </c>
      <c r="J2" s="8" t="s">
        <v>20</v>
      </c>
      <c r="K2" s="8" t="s">
        <v>21</v>
      </c>
      <c r="L2" s="8" t="s">
        <v>20</v>
      </c>
      <c r="M2" s="8" t="s">
        <v>21</v>
      </c>
      <c r="N2" s="8" t="s">
        <v>21</v>
      </c>
      <c r="O2" s="8" t="s">
        <v>20</v>
      </c>
      <c r="P2" s="8" t="s">
        <v>21</v>
      </c>
      <c r="Q2" s="9" t="s">
        <v>22</v>
      </c>
      <c r="R2" s="10"/>
      <c r="S2" s="10"/>
      <c r="T2" s="10"/>
      <c r="U2" s="10"/>
      <c r="V2" s="10"/>
      <c r="W2" s="10"/>
      <c r="X2" s="10"/>
      <c r="Y2" s="10"/>
      <c r="Z2" s="10"/>
    </row>
    <row r="3" spans="1:26" ht="29.25">
      <c r="A3" s="11" t="s">
        <v>17</v>
      </c>
      <c r="B3" s="6" t="s">
        <v>18</v>
      </c>
      <c r="C3" s="12" t="s">
        <v>23</v>
      </c>
      <c r="D3" s="12"/>
      <c r="E3" s="8" t="s">
        <v>21</v>
      </c>
      <c r="F3" s="8" t="s">
        <v>20</v>
      </c>
      <c r="G3" s="8" t="s">
        <v>21</v>
      </c>
      <c r="H3" s="8" t="s">
        <v>21</v>
      </c>
      <c r="I3" s="8" t="s">
        <v>21</v>
      </c>
      <c r="J3" s="8" t="s">
        <v>21</v>
      </c>
      <c r="K3" s="8" t="s">
        <v>20</v>
      </c>
      <c r="L3" s="8" t="s">
        <v>21</v>
      </c>
      <c r="M3" s="8" t="s">
        <v>21</v>
      </c>
      <c r="N3" s="8" t="s">
        <v>21</v>
      </c>
      <c r="O3" s="8" t="s">
        <v>21</v>
      </c>
      <c r="P3" s="8" t="s">
        <v>20</v>
      </c>
      <c r="Q3" s="9" t="s">
        <v>24</v>
      </c>
      <c r="R3" s="10"/>
      <c r="S3" s="10"/>
      <c r="T3" s="10"/>
      <c r="U3" s="10"/>
      <c r="V3" s="10"/>
      <c r="W3" s="10"/>
      <c r="X3" s="10"/>
      <c r="Y3" s="10"/>
      <c r="Z3" s="10"/>
    </row>
    <row r="4" spans="1:26" ht="43.5">
      <c r="A4" s="11" t="s">
        <v>17</v>
      </c>
      <c r="B4" s="6" t="s">
        <v>18</v>
      </c>
      <c r="C4" s="12" t="s">
        <v>25</v>
      </c>
      <c r="D4" s="12"/>
      <c r="E4" s="8" t="s">
        <v>20</v>
      </c>
      <c r="F4" s="8" t="s">
        <v>21</v>
      </c>
      <c r="G4" s="8" t="s">
        <v>20</v>
      </c>
      <c r="H4" s="8" t="s">
        <v>21</v>
      </c>
      <c r="I4" s="8" t="s">
        <v>21</v>
      </c>
      <c r="J4" s="8" t="s">
        <v>20</v>
      </c>
      <c r="K4" s="8" t="s">
        <v>21</v>
      </c>
      <c r="L4" s="8" t="s">
        <v>21</v>
      </c>
      <c r="M4" s="8" t="s">
        <v>20</v>
      </c>
      <c r="N4" s="8" t="s">
        <v>21</v>
      </c>
      <c r="O4" s="8" t="s">
        <v>21</v>
      </c>
      <c r="P4" s="8" t="s">
        <v>20</v>
      </c>
      <c r="Q4" s="9" t="s">
        <v>26</v>
      </c>
    </row>
    <row r="5" spans="1:26" ht="29.25">
      <c r="A5" s="5" t="s">
        <v>17</v>
      </c>
      <c r="B5" s="6" t="s">
        <v>27</v>
      </c>
      <c r="C5" s="13" t="s">
        <v>28</v>
      </c>
      <c r="D5" s="13">
        <v>6</v>
      </c>
      <c r="E5" s="8" t="s">
        <v>21</v>
      </c>
      <c r="F5" s="8" t="s">
        <v>20</v>
      </c>
      <c r="G5" s="8" t="s">
        <v>21</v>
      </c>
      <c r="H5" s="8" t="s">
        <v>21</v>
      </c>
      <c r="I5" s="8" t="s">
        <v>21</v>
      </c>
      <c r="J5" s="8" t="s">
        <v>20</v>
      </c>
      <c r="K5" s="8" t="s">
        <v>21</v>
      </c>
      <c r="L5" s="8" t="s">
        <v>21</v>
      </c>
      <c r="M5" s="8" t="s">
        <v>21</v>
      </c>
      <c r="N5" s="8" t="s">
        <v>21</v>
      </c>
      <c r="O5" s="8" t="s">
        <v>21</v>
      </c>
      <c r="P5" s="8" t="s">
        <v>20</v>
      </c>
      <c r="Q5" s="9" t="s">
        <v>29</v>
      </c>
    </row>
    <row r="6" spans="1:26" ht="28.5">
      <c r="A6" s="6" t="s">
        <v>30</v>
      </c>
      <c r="B6" s="6" t="s">
        <v>31</v>
      </c>
      <c r="C6" s="13" t="s">
        <v>32</v>
      </c>
      <c r="D6" s="13">
        <v>1</v>
      </c>
      <c r="E6" s="6" t="s">
        <v>21</v>
      </c>
      <c r="F6" s="5" t="s">
        <v>20</v>
      </c>
      <c r="G6" s="6" t="s">
        <v>21</v>
      </c>
      <c r="H6" s="6" t="s">
        <v>21</v>
      </c>
      <c r="I6" s="6" t="s">
        <v>21</v>
      </c>
      <c r="J6" s="6" t="s">
        <v>20</v>
      </c>
      <c r="K6" s="6" t="s">
        <v>21</v>
      </c>
      <c r="L6" s="6" t="s">
        <v>21</v>
      </c>
      <c r="M6" s="6" t="s">
        <v>21</v>
      </c>
      <c r="N6" s="6" t="s">
        <v>21</v>
      </c>
      <c r="O6" s="6" t="s">
        <v>21</v>
      </c>
      <c r="P6" s="6" t="s">
        <v>20</v>
      </c>
      <c r="Q6" s="104" t="s">
        <v>33</v>
      </c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6"/>
      <c r="B7" s="6"/>
      <c r="C7" s="13"/>
      <c r="D7" s="13"/>
      <c r="E7" s="15"/>
      <c r="F7" s="11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15"/>
      <c r="B8" s="15"/>
      <c r="C8" s="12"/>
      <c r="D8" s="12"/>
      <c r="E8" s="15"/>
      <c r="F8" s="11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15"/>
      <c r="B9" s="15"/>
      <c r="C9" s="12"/>
      <c r="D9" s="12"/>
      <c r="E9" s="15"/>
      <c r="F9" s="11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15"/>
      <c r="B10" s="15"/>
      <c r="C10" s="12"/>
      <c r="D10" s="12"/>
      <c r="E10" s="15"/>
      <c r="F10" s="11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15"/>
      <c r="B11" s="15"/>
      <c r="C11" s="12"/>
      <c r="D11" s="12"/>
      <c r="E11" s="15"/>
      <c r="F11" s="11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15"/>
      <c r="B12" s="15"/>
      <c r="C12" s="12"/>
      <c r="D12" s="12"/>
      <c r="E12" s="15"/>
      <c r="F12" s="11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15"/>
      <c r="B13" s="15"/>
      <c r="C13" s="15"/>
      <c r="D13" s="15"/>
      <c r="E13" s="15"/>
      <c r="F13" s="11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15"/>
      <c r="B14" s="15"/>
      <c r="C14" s="15"/>
      <c r="D14" s="15"/>
      <c r="E14" s="15"/>
      <c r="F14" s="11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15"/>
      <c r="B15" s="15"/>
      <c r="C15" s="15"/>
      <c r="D15" s="15"/>
      <c r="E15" s="15"/>
      <c r="F15" s="11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15"/>
      <c r="B16" s="15"/>
      <c r="C16" s="15"/>
      <c r="D16" s="15"/>
      <c r="E16" s="15"/>
      <c r="F16" s="11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15"/>
      <c r="B17" s="15"/>
      <c r="C17" s="15"/>
      <c r="D17" s="15"/>
      <c r="E17" s="15"/>
      <c r="F17" s="11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5"/>
      <c r="B18" s="15"/>
      <c r="C18" s="15"/>
      <c r="D18" s="15"/>
      <c r="E18" s="15"/>
      <c r="F18" s="11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5"/>
      <c r="B19" s="15"/>
      <c r="C19" s="15"/>
      <c r="D19" s="15"/>
      <c r="E19" s="15"/>
      <c r="F19" s="11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15"/>
      <c r="B20" s="15"/>
      <c r="C20" s="15"/>
      <c r="D20" s="15"/>
      <c r="E20" s="15"/>
      <c r="F20" s="11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15"/>
      <c r="B21" s="15"/>
      <c r="C21" s="15"/>
      <c r="D21" s="15"/>
      <c r="E21" s="15"/>
      <c r="F21" s="11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15"/>
      <c r="B22" s="15"/>
      <c r="C22" s="15"/>
      <c r="D22" s="15"/>
      <c r="E22" s="15"/>
      <c r="F22" s="11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15"/>
      <c r="B23" s="15"/>
      <c r="C23" s="15"/>
      <c r="D23" s="15"/>
      <c r="E23" s="15"/>
      <c r="F23" s="11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15"/>
      <c r="B24" s="15"/>
      <c r="C24" s="15"/>
      <c r="D24" s="15"/>
      <c r="E24" s="15"/>
      <c r="F24" s="11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15"/>
      <c r="B25" s="15"/>
      <c r="C25" s="15"/>
      <c r="D25" s="15"/>
      <c r="E25" s="15"/>
      <c r="F25" s="11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15"/>
      <c r="B26" s="15"/>
      <c r="C26" s="15"/>
      <c r="D26" s="15"/>
      <c r="E26" s="15"/>
      <c r="F26" s="11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15"/>
      <c r="B27" s="15"/>
      <c r="C27" s="15"/>
      <c r="D27" s="15"/>
      <c r="E27" s="15"/>
      <c r="F27" s="11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15"/>
      <c r="B28" s="15"/>
      <c r="C28" s="15"/>
      <c r="D28" s="15"/>
      <c r="E28" s="15"/>
      <c r="F28" s="11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16"/>
      <c r="B29" s="16"/>
      <c r="C29" s="16"/>
      <c r="D29" s="16"/>
      <c r="E29" s="16"/>
      <c r="F29" s="11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26" ht="15.75" customHeight="1">
      <c r="A30" s="16"/>
      <c r="B30" s="16"/>
      <c r="C30" s="16"/>
      <c r="D30" s="16"/>
      <c r="E30" s="16"/>
      <c r="F30" s="11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:P5">
    <cfRule type="containsText" dxfId="5" priority="1" operator="containsText" text="No">
      <formula>NOT(ISERROR(SEARCH(("No"),(E1))))</formula>
    </cfRule>
  </conditionalFormatting>
  <conditionalFormatting sqref="E1:P30">
    <cfRule type="containsText" dxfId="4" priority="2" operator="containsText" text="No">
      <formula>NOT(ISERROR(SEARCH(("No"),(E1))))</formula>
    </cfRule>
  </conditionalFormatting>
  <conditionalFormatting sqref="E1:P30">
    <cfRule type="containsText" dxfId="3" priority="3" operator="containsText" text="Si">
      <formula>NOT(ISERROR(SEARCH(("Si"),(E1))))</formula>
    </cfRule>
  </conditionalFormatting>
  <conditionalFormatting sqref="E1:P1000">
    <cfRule type="containsText" dxfId="2" priority="4" operator="containsText" text="Si">
      <formula>NOT(ISERROR(SEARCH(("Si"),(E1))))</formula>
    </cfRule>
  </conditionalFormatting>
  <dataValidations count="3">
    <dataValidation type="list" allowBlank="1" showErrorMessage="1" sqref="B7:B30" xr:uid="{00000000-0002-0000-0000-000000000000}">
      <formula1>"Baró de Viver,Can Baró,Can Peguera,Canyelles,Ciutat Meridiana,Diagonal Mar i el Front Marítim del Poblenou,El Baix Guinardó,El Barri Gòtic,El Besòs i el Maresme,El Bon Pastor,El Camp d'en Grassot i Gràcia Nova,El Camp de l'Arpa del Clot,El Carmel,El Clot,"&amp;"El Coll,El Congrés i els Indians,El Fort Pienc,El Guinardó,El Parc i la Llacuna del Poblenou,El Poble-sec,El Poblenou,El Putxet i el Farró,El Raval,Horta,Hostafrancs,L'Antiga Esquerra de l'Eixample,La Barceloneta,La Bordeta,La Clota,La Dreta de l'Eixample"&amp;",La Font d'en Fargues,La Font de la Guatlla,La Guineueta,La Marina de Port,La Marina del Prat Vermell,La Maternitat i Sant Ramon,La Nova Esquerra de l'Eixample,La Prosperitat,La Sagrada Família,La Sagrera,La Salut,La Teixonera,La Trinitat Nova,La Trinitat"&amp;" Vella,La Vall d'Hebron,La Verneda i la Pau,La Vila Olímpica del Poblenou,Les Corts,Les Roquetes,Les Tres Torres,Montbau,Navas,Pedralbes,Porta,Provençals del Poblenou,Sant Andreu,Sant Antoni,Sant Genís dels Agudells,Sant Gervasi - Galvany,Sant Gervasi - l"&amp;"a Bonanova,Sant Martí de Provençals,Sant Pere, Santa Caterina i la Ribera,Sants,Sants-Badal,Sarrià,Torre Baró,Turó de la Peira,Vallbona,Vallcarca i els Penitents,Vallvidrera, el Tibidabo i les Planes,Verdun,Vila de Gràcia,Vilapicina i la Torre Llobeta"</formula1>
    </dataValidation>
    <dataValidation type="list" allowBlank="1" showErrorMessage="1" sqref="E2:P30" xr:uid="{00000000-0002-0000-0000-000001000000}">
      <formula1>"No,Si"</formula1>
    </dataValidation>
    <dataValidation type="list" allowBlank="1" showErrorMessage="1" sqref="A2:A5 A7:A30" xr:uid="{00000000-0002-0000-0000-000002000000}">
      <formula1>"Ciutat Vella,Eixample,Gràcia,Horta-Guinardó,Les Corts,Nou Barris,Sant Andreu,Sant Martí ,Sants-Montjuïc,Sarrià-Sant Gervasi"</formula1>
    </dataValidation>
  </dataValidation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A7E8AAF2-1777-4A98-B769-BDEAF9ACA16C}">
          <x14:formula1>
            <xm:f>Contingut_llista_desplegable!$I$2:$I$74</xm:f>
          </x14:formula1>
          <xm:sqref>B2:B6</xm:sqref>
        </x14:dataValidation>
        <x14:dataValidation type="list" allowBlank="1" showErrorMessage="1" xr:uid="{501AFD72-13F0-4559-BDFC-9314CC6F7EF8}">
          <x14:formula1>
            <xm:f>Contingut_llista_desplegable!$B$1:$B$11</xm:f>
          </x14:formula1>
          <xm:sqref>A6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000"/>
  <sheetViews>
    <sheetView topLeftCell="F1" workbookViewId="0">
      <selection activeCell="L4" sqref="L4"/>
    </sheetView>
  </sheetViews>
  <sheetFormatPr defaultColWidth="12.5703125" defaultRowHeight="15" customHeight="1"/>
  <cols>
    <col min="1" max="1" width="31.140625" customWidth="1"/>
    <col min="2" max="2" width="17.140625" customWidth="1"/>
    <col min="3" max="3" width="10.5703125" customWidth="1"/>
    <col min="4" max="4" width="37.42578125" style="59" customWidth="1"/>
    <col min="5" max="8" width="10.5703125" customWidth="1"/>
    <col min="9" max="9" width="37.42578125" customWidth="1"/>
    <col min="10" max="26" width="10.5703125" customWidth="1"/>
  </cols>
  <sheetData>
    <row r="1" spans="2:12">
      <c r="B1" s="65" t="s">
        <v>34</v>
      </c>
      <c r="D1" s="59" t="s">
        <v>35</v>
      </c>
      <c r="I1" s="64" t="s">
        <v>36</v>
      </c>
      <c r="J1" s="87" t="s">
        <v>37</v>
      </c>
    </row>
    <row r="2" spans="2:12">
      <c r="B2" s="65" t="s">
        <v>38</v>
      </c>
      <c r="D2" s="59" t="s">
        <v>39</v>
      </c>
      <c r="I2" s="25" t="s">
        <v>40</v>
      </c>
      <c r="J2" s="88" t="s">
        <v>41</v>
      </c>
      <c r="L2" t="s">
        <v>42</v>
      </c>
    </row>
    <row r="3" spans="2:12">
      <c r="B3" s="65" t="s">
        <v>43</v>
      </c>
      <c r="D3" s="59" t="s">
        <v>44</v>
      </c>
      <c r="I3" s="25" t="s">
        <v>45</v>
      </c>
      <c r="J3" s="88" t="s">
        <v>46</v>
      </c>
      <c r="L3" t="s">
        <v>47</v>
      </c>
    </row>
    <row r="4" spans="2:12">
      <c r="B4" s="65" t="s">
        <v>48</v>
      </c>
      <c r="D4" s="59" t="s">
        <v>49</v>
      </c>
      <c r="I4" s="16" t="s">
        <v>35</v>
      </c>
      <c r="J4" s="88" t="s">
        <v>50</v>
      </c>
    </row>
    <row r="5" spans="2:12">
      <c r="B5" s="65" t="s">
        <v>51</v>
      </c>
      <c r="D5" s="59" t="s">
        <v>52</v>
      </c>
      <c r="I5" s="16" t="s">
        <v>53</v>
      </c>
      <c r="J5" s="88" t="s">
        <v>54</v>
      </c>
    </row>
    <row r="6" spans="2:12">
      <c r="B6" s="65" t="s">
        <v>55</v>
      </c>
      <c r="D6" s="59" t="s">
        <v>56</v>
      </c>
      <c r="I6" s="16" t="s">
        <v>57</v>
      </c>
      <c r="J6" s="88" t="s">
        <v>58</v>
      </c>
    </row>
    <row r="7" spans="2:12">
      <c r="B7" s="65" t="s">
        <v>59</v>
      </c>
      <c r="D7" s="59" t="s">
        <v>60</v>
      </c>
      <c r="I7" s="16" t="s">
        <v>61</v>
      </c>
      <c r="J7" s="88" t="s">
        <v>62</v>
      </c>
    </row>
    <row r="8" spans="2:12">
      <c r="B8" s="56" t="s">
        <v>30</v>
      </c>
      <c r="D8" s="59" t="s">
        <v>63</v>
      </c>
      <c r="I8" s="16" t="s">
        <v>63</v>
      </c>
      <c r="J8" s="88" t="s">
        <v>64</v>
      </c>
    </row>
    <row r="9" spans="2:12">
      <c r="B9" s="65" t="s">
        <v>65</v>
      </c>
      <c r="D9" s="59" t="s">
        <v>66</v>
      </c>
      <c r="I9" s="16" t="s">
        <v>67</v>
      </c>
      <c r="J9" s="88" t="s">
        <v>68</v>
      </c>
    </row>
    <row r="10" spans="2:12">
      <c r="B10" s="65" t="s">
        <v>69</v>
      </c>
      <c r="D10" s="59" t="s">
        <v>70</v>
      </c>
      <c r="I10" s="16" t="s">
        <v>71</v>
      </c>
      <c r="J10" s="88" t="s">
        <v>72</v>
      </c>
    </row>
    <row r="11" spans="2:12">
      <c r="D11" t="s">
        <v>40</v>
      </c>
      <c r="I11" s="16" t="s">
        <v>73</v>
      </c>
      <c r="J11" s="88" t="s">
        <v>74</v>
      </c>
    </row>
    <row r="12" spans="2:12">
      <c r="D12" s="59" t="s">
        <v>75</v>
      </c>
      <c r="I12" s="16" t="s">
        <v>52</v>
      </c>
      <c r="J12" s="88" t="s">
        <v>76</v>
      </c>
    </row>
    <row r="13" spans="2:12">
      <c r="D13" s="59" t="s">
        <v>75</v>
      </c>
      <c r="I13" s="16" t="s">
        <v>77</v>
      </c>
      <c r="J13" s="88" t="s">
        <v>78</v>
      </c>
    </row>
    <row r="14" spans="2:12">
      <c r="D14" s="59" t="s">
        <v>79</v>
      </c>
      <c r="I14" s="16" t="s">
        <v>60</v>
      </c>
      <c r="J14" s="88" t="s">
        <v>80</v>
      </c>
    </row>
    <row r="15" spans="2:12">
      <c r="D15" s="59" t="s">
        <v>81</v>
      </c>
      <c r="I15" s="16" t="s">
        <v>82</v>
      </c>
      <c r="J15" s="88" t="s">
        <v>83</v>
      </c>
    </row>
    <row r="16" spans="2:12">
      <c r="D16" s="59" t="s">
        <v>82</v>
      </c>
      <c r="I16" s="16" t="s">
        <v>84</v>
      </c>
      <c r="J16" s="88" t="s">
        <v>85</v>
      </c>
    </row>
    <row r="17" spans="4:10">
      <c r="D17" s="59" t="s">
        <v>86</v>
      </c>
      <c r="I17" s="16" t="s">
        <v>87</v>
      </c>
      <c r="J17" s="88" t="s">
        <v>88</v>
      </c>
    </row>
    <row r="18" spans="4:10">
      <c r="D18" s="59" t="s">
        <v>89</v>
      </c>
      <c r="I18" s="16" t="s">
        <v>90</v>
      </c>
      <c r="J18" s="88" t="s">
        <v>91</v>
      </c>
    </row>
    <row r="19" spans="4:10">
      <c r="D19" s="59" t="s">
        <v>92</v>
      </c>
      <c r="I19" s="16" t="s">
        <v>93</v>
      </c>
      <c r="J19" s="88" t="s">
        <v>94</v>
      </c>
    </row>
    <row r="20" spans="4:10">
      <c r="D20" s="59" t="s">
        <v>95</v>
      </c>
      <c r="I20" s="16" t="s">
        <v>51</v>
      </c>
      <c r="J20" s="88" t="s">
        <v>96</v>
      </c>
    </row>
    <row r="21" spans="4:10" ht="15.75" customHeight="1">
      <c r="D21" s="59" t="s">
        <v>59</v>
      </c>
      <c r="I21" s="16" t="s">
        <v>79</v>
      </c>
      <c r="J21" s="88" t="s">
        <v>97</v>
      </c>
    </row>
    <row r="22" spans="4:10" ht="15.75" customHeight="1">
      <c r="I22" s="16" t="s">
        <v>98</v>
      </c>
      <c r="J22" s="88" t="s">
        <v>99</v>
      </c>
    </row>
    <row r="23" spans="4:10" ht="15.75" customHeight="1">
      <c r="D23" s="59" t="s">
        <v>100</v>
      </c>
      <c r="I23" s="16" t="s">
        <v>101</v>
      </c>
      <c r="J23" s="88" t="s">
        <v>102</v>
      </c>
    </row>
    <row r="24" spans="4:10" ht="15.75" customHeight="1">
      <c r="D24" s="59" t="s">
        <v>98</v>
      </c>
      <c r="I24" s="16" t="s">
        <v>103</v>
      </c>
      <c r="J24" s="88" t="s">
        <v>104</v>
      </c>
    </row>
    <row r="25" spans="4:10" ht="15.75" customHeight="1">
      <c r="D25" s="59" t="s">
        <v>90</v>
      </c>
      <c r="I25" s="16" t="s">
        <v>105</v>
      </c>
      <c r="J25" s="88" t="s">
        <v>106</v>
      </c>
    </row>
    <row r="26" spans="4:10" ht="15.75" customHeight="1">
      <c r="D26" s="59" t="s">
        <v>93</v>
      </c>
      <c r="I26" s="16" t="s">
        <v>107</v>
      </c>
      <c r="J26" s="88" t="s">
        <v>108</v>
      </c>
    </row>
    <row r="27" spans="4:10" ht="15.75" customHeight="1">
      <c r="D27" s="59" t="s">
        <v>67</v>
      </c>
      <c r="I27" s="16" t="s">
        <v>109</v>
      </c>
      <c r="J27" s="88" t="s">
        <v>110</v>
      </c>
    </row>
    <row r="28" spans="4:10" ht="15.75" customHeight="1">
      <c r="D28" s="59" t="s">
        <v>111</v>
      </c>
      <c r="I28" s="16" t="s">
        <v>112</v>
      </c>
      <c r="J28" s="88" t="s">
        <v>113</v>
      </c>
    </row>
    <row r="29" spans="4:10" ht="15.75" customHeight="1">
      <c r="D29" s="59" t="s">
        <v>114</v>
      </c>
      <c r="I29" s="16" t="s">
        <v>100</v>
      </c>
      <c r="J29" s="88" t="s">
        <v>115</v>
      </c>
    </row>
    <row r="30" spans="4:10" ht="15.75" customHeight="1">
      <c r="D30" s="59" t="s">
        <v>116</v>
      </c>
      <c r="I30" s="16" t="s">
        <v>117</v>
      </c>
      <c r="J30" s="88" t="s">
        <v>118</v>
      </c>
    </row>
    <row r="31" spans="4:10" ht="15.75" customHeight="1">
      <c r="I31" s="16" t="s">
        <v>95</v>
      </c>
      <c r="J31" s="88" t="s">
        <v>119</v>
      </c>
    </row>
    <row r="32" spans="4:10" ht="15.75" customHeight="1">
      <c r="D32" s="59" t="s">
        <v>120</v>
      </c>
      <c r="I32" s="16" t="s">
        <v>121</v>
      </c>
      <c r="J32" s="88" t="s">
        <v>122</v>
      </c>
    </row>
    <row r="33" spans="4:10" ht="15.75" customHeight="1">
      <c r="D33" s="59" t="s">
        <v>123</v>
      </c>
      <c r="I33" s="16" t="s">
        <v>124</v>
      </c>
      <c r="J33" s="88" t="s">
        <v>125</v>
      </c>
    </row>
    <row r="34" spans="4:10" ht="15.75" customHeight="1">
      <c r="D34" s="59" t="s">
        <v>126</v>
      </c>
      <c r="I34" s="16" t="s">
        <v>127</v>
      </c>
      <c r="J34" s="88" t="s">
        <v>128</v>
      </c>
    </row>
    <row r="35" spans="4:10" ht="15.75" customHeight="1">
      <c r="D35" s="59" t="s">
        <v>31</v>
      </c>
      <c r="I35" s="16" t="s">
        <v>66</v>
      </c>
      <c r="J35" s="88" t="s">
        <v>129</v>
      </c>
    </row>
    <row r="36" spans="4:10" ht="15.75" customHeight="1">
      <c r="D36" s="59" t="s">
        <v>77</v>
      </c>
      <c r="I36" s="16" t="s">
        <v>114</v>
      </c>
      <c r="J36" s="88" t="s">
        <v>130</v>
      </c>
    </row>
    <row r="37" spans="4:10" ht="15.75" customHeight="1">
      <c r="D37" s="59" t="s">
        <v>124</v>
      </c>
      <c r="I37" s="16" t="s">
        <v>44</v>
      </c>
      <c r="J37" s="88" t="s">
        <v>131</v>
      </c>
    </row>
    <row r="38" spans="4:10" ht="15.75" customHeight="1">
      <c r="D38" s="59" t="s">
        <v>132</v>
      </c>
      <c r="I38" s="16" t="s">
        <v>39</v>
      </c>
      <c r="J38" s="88" t="s">
        <v>133</v>
      </c>
    </row>
    <row r="39" spans="4:10" ht="15.75" customHeight="1">
      <c r="D39" s="59" t="s">
        <v>134</v>
      </c>
      <c r="I39" s="16" t="s">
        <v>135</v>
      </c>
      <c r="J39" s="88" t="s">
        <v>136</v>
      </c>
    </row>
    <row r="40" spans="4:10" ht="15.75" customHeight="1">
      <c r="D40" s="59" t="s">
        <v>137</v>
      </c>
      <c r="I40" s="16" t="s">
        <v>138</v>
      </c>
      <c r="J40" s="88" t="s">
        <v>139</v>
      </c>
    </row>
    <row r="41" spans="4:10" ht="15.75" customHeight="1">
      <c r="D41" s="59" t="s">
        <v>140</v>
      </c>
      <c r="I41" s="16" t="s">
        <v>141</v>
      </c>
      <c r="J41" s="88" t="s">
        <v>142</v>
      </c>
    </row>
    <row r="42" spans="4:10" ht="15.75" customHeight="1">
      <c r="D42" s="59" t="s">
        <v>143</v>
      </c>
      <c r="I42" s="16" t="s">
        <v>116</v>
      </c>
      <c r="J42" s="88" t="s">
        <v>144</v>
      </c>
    </row>
    <row r="43" spans="4:10" ht="15.75" customHeight="1">
      <c r="D43" s="59" t="s">
        <v>87</v>
      </c>
      <c r="I43" s="16" t="s">
        <v>81</v>
      </c>
      <c r="J43" s="88" t="s">
        <v>145</v>
      </c>
    </row>
    <row r="44" spans="4:10" ht="15.75" customHeight="1">
      <c r="I44" s="16" t="s">
        <v>146</v>
      </c>
      <c r="J44" s="88" t="s">
        <v>147</v>
      </c>
    </row>
    <row r="45" spans="4:10" ht="15.75" customHeight="1">
      <c r="D45" s="59" t="s">
        <v>59</v>
      </c>
      <c r="I45" s="16" t="s">
        <v>111</v>
      </c>
      <c r="J45" s="88" t="s">
        <v>148</v>
      </c>
    </row>
    <row r="46" spans="4:10" ht="15.75" customHeight="1">
      <c r="D46" s="59" t="s">
        <v>149</v>
      </c>
      <c r="I46" s="16" t="s">
        <v>137</v>
      </c>
      <c r="J46" s="88" t="s">
        <v>150</v>
      </c>
    </row>
    <row r="47" spans="4:10" ht="15.75" customHeight="1">
      <c r="D47" s="59" t="s">
        <v>127</v>
      </c>
      <c r="I47" s="16" t="s">
        <v>89</v>
      </c>
      <c r="J47" s="88" t="s">
        <v>151</v>
      </c>
    </row>
    <row r="48" spans="4:10" ht="15.75" customHeight="1">
      <c r="D48" s="59" t="s">
        <v>152</v>
      </c>
      <c r="I48" s="16" t="s">
        <v>70</v>
      </c>
      <c r="J48" s="88" t="s">
        <v>153</v>
      </c>
    </row>
    <row r="49" spans="4:10" ht="15.75" customHeight="1">
      <c r="D49" s="59" t="s">
        <v>18</v>
      </c>
      <c r="I49" s="16" t="s">
        <v>143</v>
      </c>
      <c r="J49" s="88" t="s">
        <v>154</v>
      </c>
    </row>
    <row r="50" spans="4:10" ht="15.75" customHeight="1">
      <c r="D50" s="59" t="s">
        <v>92</v>
      </c>
      <c r="I50" s="16" t="s">
        <v>155</v>
      </c>
      <c r="J50" s="88" t="s">
        <v>156</v>
      </c>
    </row>
    <row r="51" spans="4:10" ht="15.75" customHeight="1">
      <c r="I51" s="16" t="s">
        <v>157</v>
      </c>
      <c r="J51" s="88" t="s">
        <v>158</v>
      </c>
    </row>
    <row r="52" spans="4:10" ht="15.75" customHeight="1">
      <c r="D52" s="59" t="s">
        <v>135</v>
      </c>
      <c r="I52" s="16" t="s">
        <v>149</v>
      </c>
      <c r="J52" s="88" t="s">
        <v>159</v>
      </c>
    </row>
    <row r="53" spans="4:10" ht="15.75" customHeight="1">
      <c r="D53" s="59" t="s">
        <v>132</v>
      </c>
      <c r="I53" s="16" t="s">
        <v>152</v>
      </c>
      <c r="J53" s="88" t="s">
        <v>160</v>
      </c>
    </row>
    <row r="54" spans="4:10" ht="15.75" customHeight="1">
      <c r="D54" s="59" t="s">
        <v>101</v>
      </c>
      <c r="I54" s="16" t="s">
        <v>161</v>
      </c>
      <c r="J54" s="88" t="s">
        <v>162</v>
      </c>
    </row>
    <row r="55" spans="4:10" ht="15.75" customHeight="1">
      <c r="D55" s="59" t="s">
        <v>18</v>
      </c>
      <c r="I55" s="16" t="s">
        <v>163</v>
      </c>
      <c r="J55" s="88" t="s">
        <v>164</v>
      </c>
    </row>
    <row r="56" spans="4:10" ht="15.75" customHeight="1">
      <c r="D56" s="59" t="s">
        <v>121</v>
      </c>
      <c r="I56" s="16" t="s">
        <v>120</v>
      </c>
      <c r="J56" s="88" t="s">
        <v>165</v>
      </c>
    </row>
    <row r="57" spans="4:10" ht="15.75" customHeight="1">
      <c r="D57" s="59" t="s">
        <v>140</v>
      </c>
      <c r="I57" s="16" t="s">
        <v>86</v>
      </c>
      <c r="J57" s="88" t="s">
        <v>166</v>
      </c>
    </row>
    <row r="58" spans="4:10" ht="15.75" customHeight="1">
      <c r="D58" s="59" t="s">
        <v>167</v>
      </c>
      <c r="I58" s="16" t="s">
        <v>168</v>
      </c>
      <c r="J58" s="88" t="s">
        <v>169</v>
      </c>
    </row>
    <row r="59" spans="4:10" ht="15.75" customHeight="1">
      <c r="D59" s="59" t="s">
        <v>61</v>
      </c>
      <c r="I59" s="16" t="s">
        <v>49</v>
      </c>
      <c r="J59" s="88" t="s">
        <v>170</v>
      </c>
    </row>
    <row r="60" spans="4:10" ht="15.75" customHeight="1">
      <c r="D60" s="59" t="s">
        <v>134</v>
      </c>
      <c r="I60" s="16" t="s">
        <v>171</v>
      </c>
      <c r="J60" s="88" t="s">
        <v>172</v>
      </c>
    </row>
    <row r="61" spans="4:10" ht="15.75" customHeight="1">
      <c r="D61" s="59" t="s">
        <v>168</v>
      </c>
      <c r="I61" s="16" t="s">
        <v>59</v>
      </c>
      <c r="J61" s="88" t="s">
        <v>173</v>
      </c>
    </row>
    <row r="62" spans="4:10" ht="15.75" customHeight="1">
      <c r="D62" s="59" t="s">
        <v>174</v>
      </c>
      <c r="I62" s="16" t="s">
        <v>75</v>
      </c>
      <c r="J62" s="88" t="s">
        <v>175</v>
      </c>
    </row>
    <row r="63" spans="4:10" ht="15.75" customHeight="1">
      <c r="D63" s="59" t="s">
        <v>27</v>
      </c>
      <c r="I63" s="16" t="s">
        <v>123</v>
      </c>
      <c r="J63" s="88" t="s">
        <v>176</v>
      </c>
    </row>
    <row r="64" spans="4:10" ht="15.75" customHeight="1">
      <c r="D64" s="59" t="s">
        <v>126</v>
      </c>
      <c r="I64" s="16" t="s">
        <v>92</v>
      </c>
      <c r="J64" s="88" t="s">
        <v>177</v>
      </c>
    </row>
    <row r="65" spans="4:10" ht="15.75" customHeight="1">
      <c r="D65" s="59" t="s">
        <v>57</v>
      </c>
      <c r="I65" s="16" t="s">
        <v>167</v>
      </c>
      <c r="J65" s="88" t="s">
        <v>178</v>
      </c>
    </row>
    <row r="66" spans="4:10" ht="15.75" customHeight="1">
      <c r="D66" s="59" t="s">
        <v>31</v>
      </c>
      <c r="I66" s="25" t="s">
        <v>18</v>
      </c>
      <c r="J66" s="88" t="s">
        <v>179</v>
      </c>
    </row>
    <row r="67" spans="4:10" ht="15.75" customHeight="1">
      <c r="D67" s="59" t="s">
        <v>105</v>
      </c>
      <c r="I67" s="16" t="s">
        <v>174</v>
      </c>
      <c r="J67" s="88" t="s">
        <v>180</v>
      </c>
    </row>
    <row r="68" spans="4:10" ht="15.75" customHeight="1">
      <c r="D68" s="59" t="s">
        <v>146</v>
      </c>
      <c r="I68" s="16" t="s">
        <v>140</v>
      </c>
      <c r="J68" s="88" t="s">
        <v>181</v>
      </c>
    </row>
    <row r="69" spans="4:10" ht="15.75" customHeight="1">
      <c r="D69" s="59" t="s">
        <v>117</v>
      </c>
      <c r="I69" s="16" t="s">
        <v>31</v>
      </c>
      <c r="J69" s="88" t="s">
        <v>182</v>
      </c>
    </row>
    <row r="70" spans="4:10" ht="15.75" customHeight="1">
      <c r="D70" s="59" t="s">
        <v>73</v>
      </c>
      <c r="I70" s="16" t="s">
        <v>126</v>
      </c>
      <c r="J70" s="88" t="s">
        <v>183</v>
      </c>
    </row>
    <row r="71" spans="4:10" ht="15.75" customHeight="1">
      <c r="D71" s="59" t="s">
        <v>138</v>
      </c>
      <c r="I71" s="16" t="s">
        <v>56</v>
      </c>
      <c r="J71" s="88" t="s">
        <v>184</v>
      </c>
    </row>
    <row r="72" spans="4:10" ht="15.75" customHeight="1">
      <c r="D72" s="59" t="s">
        <v>103</v>
      </c>
      <c r="I72" s="16" t="s">
        <v>27</v>
      </c>
      <c r="J72" s="88" t="s">
        <v>185</v>
      </c>
    </row>
    <row r="73" spans="4:10" ht="15.75" customHeight="1">
      <c r="D73" s="59" t="s">
        <v>51</v>
      </c>
      <c r="I73" s="16" t="s">
        <v>134</v>
      </c>
      <c r="J73" s="88" t="s">
        <v>186</v>
      </c>
    </row>
    <row r="74" spans="4:10" ht="15.75" customHeight="1">
      <c r="D74" s="59" t="s">
        <v>171</v>
      </c>
      <c r="I74" s="16" t="s">
        <v>132</v>
      </c>
      <c r="J74" s="88" t="s">
        <v>187</v>
      </c>
    </row>
    <row r="75" spans="4:10" ht="15.75" customHeight="1">
      <c r="D75" s="59" t="s">
        <v>45</v>
      </c>
      <c r="F75" s="56" t="s">
        <v>188</v>
      </c>
    </row>
    <row r="76" spans="4:10" ht="15.75" customHeight="1">
      <c r="D76" s="59" t="s">
        <v>53</v>
      </c>
      <c r="F76" s="56" t="s">
        <v>189</v>
      </c>
    </row>
    <row r="77" spans="4:10" ht="15.75" customHeight="1">
      <c r="D77" s="59" t="s">
        <v>167</v>
      </c>
      <c r="F77" s="56" t="s">
        <v>190</v>
      </c>
    </row>
    <row r="78" spans="4:10" ht="15.75" customHeight="1">
      <c r="D78" s="59" t="s">
        <v>56</v>
      </c>
      <c r="I78" s="89"/>
      <c r="J78" s="89"/>
    </row>
    <row r="79" spans="4:10" ht="15.75" customHeight="1">
      <c r="D79" s="59" t="s">
        <v>71</v>
      </c>
      <c r="I79" s="59"/>
      <c r="J79" s="66"/>
    </row>
    <row r="80" spans="4:10" ht="15.75" customHeight="1">
      <c r="D80" s="59" t="s">
        <v>155</v>
      </c>
      <c r="I80" s="59"/>
      <c r="J80" s="66"/>
    </row>
    <row r="81" spans="4:10" ht="15.75" customHeight="1">
      <c r="D81" s="59" t="s">
        <v>123</v>
      </c>
      <c r="I81" s="59"/>
      <c r="J81" s="66"/>
    </row>
    <row r="82" spans="4:10" ht="15.75" customHeight="1">
      <c r="D82" s="59" t="s">
        <v>174</v>
      </c>
      <c r="I82" s="59"/>
      <c r="J82" s="66"/>
    </row>
    <row r="83" spans="4:10" ht="15.75" customHeight="1">
      <c r="D83" s="59" t="s">
        <v>112</v>
      </c>
      <c r="I83" s="59"/>
      <c r="J83" s="66"/>
    </row>
    <row r="84" spans="4:10" ht="15.75" customHeight="1">
      <c r="D84" s="59" t="s">
        <v>84</v>
      </c>
      <c r="I84" s="59"/>
      <c r="J84" s="66"/>
    </row>
    <row r="85" spans="4:10" ht="15.75" customHeight="1">
      <c r="D85" s="59" t="s">
        <v>161</v>
      </c>
      <c r="I85" s="59"/>
      <c r="J85" s="66"/>
    </row>
    <row r="86" spans="4:10" ht="15.75" customHeight="1">
      <c r="D86" s="59" t="s">
        <v>157</v>
      </c>
      <c r="I86" s="59"/>
      <c r="J86" s="66"/>
    </row>
    <row r="87" spans="4:10" ht="15.75" customHeight="1">
      <c r="D87" s="59" t="s">
        <v>141</v>
      </c>
      <c r="I87" s="59"/>
      <c r="J87" s="66"/>
    </row>
    <row r="88" spans="4:10" ht="15.75" customHeight="1">
      <c r="D88" s="59" t="s">
        <v>27</v>
      </c>
      <c r="I88" s="59"/>
      <c r="J88" s="66"/>
    </row>
    <row r="89" spans="4:10" ht="15.75" customHeight="1">
      <c r="D89" s="59" t="s">
        <v>109</v>
      </c>
      <c r="I89" s="59"/>
      <c r="J89" s="66"/>
    </row>
    <row r="90" spans="4:10" ht="15.75" customHeight="1">
      <c r="D90" s="59" t="s">
        <v>107</v>
      </c>
      <c r="I90" s="59"/>
      <c r="J90" s="66"/>
    </row>
    <row r="91" spans="4:10" ht="15.75" customHeight="1">
      <c r="D91" s="59" t="s">
        <v>163</v>
      </c>
      <c r="I91" s="59"/>
      <c r="J91" s="66"/>
    </row>
    <row r="92" spans="4:10" ht="15.75" customHeight="1">
      <c r="J92" s="66"/>
    </row>
    <row r="93" spans="4:10" ht="15.75" customHeight="1"/>
    <row r="94" spans="4:10" ht="15.75" customHeight="1"/>
    <row r="95" spans="4:10" ht="15.75" customHeight="1"/>
    <row r="96" spans="4:10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B1:B1048576">
    <sortCondition ref="B1:B1048576"/>
  </sortState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997"/>
  <sheetViews>
    <sheetView topLeftCell="M2" workbookViewId="0">
      <selection activeCell="AF7" sqref="AF7"/>
    </sheetView>
  </sheetViews>
  <sheetFormatPr defaultColWidth="12.5703125" defaultRowHeight="15" customHeight="1"/>
  <cols>
    <col min="1" max="1" width="27.7109375" customWidth="1"/>
    <col min="2" max="2" width="19.5703125" bestFit="1" customWidth="1"/>
    <col min="3" max="3" width="26.5703125" style="91" customWidth="1"/>
    <col min="4" max="4" width="26.5703125" customWidth="1"/>
    <col min="5" max="5" width="39.42578125" customWidth="1"/>
    <col min="6" max="6" width="13" customWidth="1"/>
    <col min="7" max="7" width="15.42578125" customWidth="1"/>
    <col min="8" max="8" width="8.7109375" customWidth="1"/>
    <col min="9" max="9" width="6.42578125" bestFit="1" customWidth="1"/>
    <col min="10" max="10" width="6.28515625" bestFit="1" customWidth="1"/>
    <col min="11" max="12" width="8.28515625" customWidth="1"/>
    <col min="13" max="13" width="7.5703125" bestFit="1" customWidth="1"/>
    <col min="14" max="14" width="6.28515625" bestFit="1" customWidth="1"/>
    <col min="15" max="15" width="9.85546875" bestFit="1" customWidth="1"/>
    <col min="16" max="16" width="6.28515625" bestFit="1" customWidth="1"/>
    <col min="17" max="17" width="8.140625" customWidth="1"/>
    <col min="18" max="18" width="8.28515625" customWidth="1"/>
    <col min="19" max="19" width="9.140625" bestFit="1" customWidth="1"/>
    <col min="20" max="20" width="6.28515625" bestFit="1" customWidth="1"/>
    <col min="21" max="21" width="8.140625" customWidth="1"/>
    <col min="22" max="22" width="6.140625" customWidth="1"/>
    <col min="23" max="23" width="11.5703125" bestFit="1" customWidth="1"/>
    <col min="24" max="24" width="6.28515625" customWidth="1"/>
    <col min="25" max="25" width="12" customWidth="1"/>
    <col min="26" max="26" width="24.42578125" customWidth="1"/>
    <col min="27" max="27" width="19" customWidth="1"/>
    <col min="28" max="28" width="10.5703125" customWidth="1"/>
    <col min="29" max="29" width="15.7109375" customWidth="1"/>
    <col min="30" max="30" width="14.42578125" customWidth="1"/>
    <col min="31" max="31" width="34.42578125" customWidth="1"/>
    <col min="32" max="32" width="47.42578125" customWidth="1"/>
    <col min="33" max="33" width="31.7109375" customWidth="1"/>
  </cols>
  <sheetData>
    <row r="1" spans="1:33" s="99" customFormat="1" ht="15.75" customHeight="1">
      <c r="A1" s="107" t="s">
        <v>191</v>
      </c>
      <c r="B1" s="108" t="s">
        <v>192</v>
      </c>
      <c r="C1" s="109" t="s">
        <v>0</v>
      </c>
      <c r="D1" s="109" t="s">
        <v>1</v>
      </c>
      <c r="E1" s="110" t="s">
        <v>2</v>
      </c>
      <c r="F1" s="111" t="s">
        <v>193</v>
      </c>
      <c r="G1" s="112" t="s">
        <v>194</v>
      </c>
      <c r="H1" s="113" t="s">
        <v>3</v>
      </c>
      <c r="I1" s="114" t="s">
        <v>195</v>
      </c>
      <c r="J1" s="114" t="s">
        <v>196</v>
      </c>
      <c r="K1" s="114" t="s">
        <v>197</v>
      </c>
      <c r="L1" s="114" t="s">
        <v>196</v>
      </c>
      <c r="M1" s="114" t="s">
        <v>198</v>
      </c>
      <c r="N1" s="114" t="s">
        <v>196</v>
      </c>
      <c r="O1" s="114" t="s">
        <v>199</v>
      </c>
      <c r="P1" s="115" t="s">
        <v>196</v>
      </c>
      <c r="Q1" s="116" t="s">
        <v>200</v>
      </c>
      <c r="R1" s="116" t="s">
        <v>196</v>
      </c>
      <c r="S1" s="116" t="s">
        <v>201</v>
      </c>
      <c r="T1" s="116" t="s">
        <v>196</v>
      </c>
      <c r="U1" s="116" t="s">
        <v>202</v>
      </c>
      <c r="V1" s="116" t="s">
        <v>196</v>
      </c>
      <c r="W1" s="116" t="s">
        <v>203</v>
      </c>
      <c r="X1" s="116" t="s">
        <v>196</v>
      </c>
      <c r="Y1" s="117" t="s">
        <v>204</v>
      </c>
      <c r="Z1" s="119" t="s">
        <v>9</v>
      </c>
      <c r="AA1" s="119" t="s">
        <v>10</v>
      </c>
      <c r="AB1" s="119" t="s">
        <v>11</v>
      </c>
      <c r="AC1" s="119" t="s">
        <v>12</v>
      </c>
      <c r="AD1" s="119" t="s">
        <v>13</v>
      </c>
      <c r="AE1" s="120" t="s">
        <v>205</v>
      </c>
      <c r="AF1" s="119" t="s">
        <v>206</v>
      </c>
      <c r="AG1" s="118" t="s">
        <v>16</v>
      </c>
    </row>
    <row r="2" spans="1:33" s="99" customFormat="1" ht="70.5">
      <c r="A2" s="18">
        <v>45721</v>
      </c>
      <c r="B2" s="19" t="s">
        <v>207</v>
      </c>
      <c r="C2" s="5" t="s">
        <v>30</v>
      </c>
      <c r="D2" s="5" t="s">
        <v>18</v>
      </c>
      <c r="E2" s="22" t="s">
        <v>208</v>
      </c>
      <c r="F2" s="21">
        <v>0</v>
      </c>
      <c r="G2" s="20">
        <v>0</v>
      </c>
      <c r="H2" s="21">
        <v>1</v>
      </c>
      <c r="I2" s="105"/>
      <c r="J2" s="105">
        <v>0</v>
      </c>
      <c r="K2" s="105"/>
      <c r="L2" s="106">
        <v>0</v>
      </c>
      <c r="M2" s="105"/>
      <c r="N2" s="105">
        <v>0</v>
      </c>
      <c r="O2" s="105" t="s">
        <v>42</v>
      </c>
      <c r="P2" s="106">
        <v>3</v>
      </c>
      <c r="Q2" s="105"/>
      <c r="R2" s="11">
        <v>0</v>
      </c>
      <c r="S2" s="105"/>
      <c r="T2" s="11">
        <v>0</v>
      </c>
      <c r="U2" s="105"/>
      <c r="V2" s="11">
        <v>0</v>
      </c>
      <c r="W2" s="105"/>
      <c r="X2" s="11">
        <v>0</v>
      </c>
      <c r="Y2" s="21">
        <v>3</v>
      </c>
      <c r="Z2" s="21">
        <v>1</v>
      </c>
      <c r="AA2" s="21"/>
      <c r="AB2" s="21">
        <v>3</v>
      </c>
      <c r="AC2" s="21"/>
      <c r="AD2" s="21">
        <v>2</v>
      </c>
      <c r="AE2" s="21">
        <v>1</v>
      </c>
      <c r="AF2" s="22" t="s">
        <v>209</v>
      </c>
      <c r="AG2" s="98" t="s">
        <v>210</v>
      </c>
    </row>
    <row r="3" spans="1:33" s="99" customFormat="1" ht="42">
      <c r="A3" s="23">
        <v>45726</v>
      </c>
      <c r="B3" s="24" t="s">
        <v>211</v>
      </c>
      <c r="C3" s="5" t="s">
        <v>30</v>
      </c>
      <c r="D3" s="5" t="s">
        <v>18</v>
      </c>
      <c r="E3" s="95" t="s">
        <v>212</v>
      </c>
      <c r="F3" s="5">
        <v>1</v>
      </c>
      <c r="G3" s="11">
        <v>0</v>
      </c>
      <c r="H3" s="11"/>
      <c r="I3" s="105"/>
      <c r="J3" s="105">
        <v>0</v>
      </c>
      <c r="K3" s="105"/>
      <c r="L3" s="106">
        <v>0</v>
      </c>
      <c r="M3" s="105"/>
      <c r="N3" s="105">
        <v>0</v>
      </c>
      <c r="O3" s="105"/>
      <c r="P3" s="11">
        <v>0</v>
      </c>
      <c r="Q3" s="105"/>
      <c r="R3" s="11">
        <v>0</v>
      </c>
      <c r="S3" s="105"/>
      <c r="T3" s="11">
        <v>0</v>
      </c>
      <c r="U3" s="105"/>
      <c r="V3" s="11">
        <v>0</v>
      </c>
      <c r="W3" s="105"/>
      <c r="X3" s="11">
        <v>0</v>
      </c>
      <c r="Y3" s="5">
        <v>0</v>
      </c>
      <c r="Z3" s="11"/>
      <c r="AA3" s="11"/>
      <c r="AB3" s="11"/>
      <c r="AC3" s="5">
        <v>1</v>
      </c>
      <c r="AD3" s="11"/>
      <c r="AE3" s="5">
        <v>1</v>
      </c>
      <c r="AF3" s="95" t="s">
        <v>213</v>
      </c>
      <c r="AG3" s="100" t="s">
        <v>214</v>
      </c>
    </row>
    <row r="4" spans="1:33" s="99" customFormat="1" ht="70.5">
      <c r="A4" s="26">
        <v>45726</v>
      </c>
      <c r="B4" s="5" t="s">
        <v>215</v>
      </c>
      <c r="C4" s="5" t="s">
        <v>30</v>
      </c>
      <c r="D4" s="5" t="s">
        <v>31</v>
      </c>
      <c r="E4" s="96" t="s">
        <v>216</v>
      </c>
      <c r="F4" s="11">
        <v>0</v>
      </c>
      <c r="G4" s="11">
        <v>0</v>
      </c>
      <c r="H4" s="5">
        <v>1</v>
      </c>
      <c r="I4" s="105"/>
      <c r="J4" s="105">
        <v>0</v>
      </c>
      <c r="K4" s="105"/>
      <c r="L4" s="106">
        <v>0</v>
      </c>
      <c r="M4" s="105"/>
      <c r="N4" s="105">
        <v>0</v>
      </c>
      <c r="O4" s="105"/>
      <c r="P4" s="11">
        <v>0</v>
      </c>
      <c r="Q4" s="105"/>
      <c r="R4" s="11">
        <v>0</v>
      </c>
      <c r="S4" s="105"/>
      <c r="T4" s="11">
        <v>0</v>
      </c>
      <c r="U4" s="105"/>
      <c r="V4" s="11">
        <v>0</v>
      </c>
      <c r="W4" s="105"/>
      <c r="X4" s="11">
        <v>0</v>
      </c>
      <c r="Y4" s="5">
        <v>6</v>
      </c>
      <c r="Z4" s="5">
        <v>2</v>
      </c>
      <c r="AA4" s="11"/>
      <c r="AB4" s="11"/>
      <c r="AC4" s="11"/>
      <c r="AD4" s="5">
        <v>1</v>
      </c>
      <c r="AE4" s="11"/>
      <c r="AF4" s="95" t="s">
        <v>217</v>
      </c>
      <c r="AG4" s="101"/>
    </row>
    <row r="5" spans="1:33" s="99" customFormat="1" ht="56.25">
      <c r="A5" s="28">
        <v>45727</v>
      </c>
      <c r="B5" s="5" t="s">
        <v>218</v>
      </c>
      <c r="C5" s="5" t="s">
        <v>30</v>
      </c>
      <c r="D5" s="5" t="s">
        <v>18</v>
      </c>
      <c r="E5" s="95" t="s">
        <v>219</v>
      </c>
      <c r="F5" s="11">
        <v>0</v>
      </c>
      <c r="G5" s="11">
        <v>0</v>
      </c>
      <c r="H5" s="5">
        <v>7</v>
      </c>
      <c r="I5" s="105"/>
      <c r="J5" s="105">
        <v>0</v>
      </c>
      <c r="K5" s="105"/>
      <c r="L5" s="106">
        <v>0</v>
      </c>
      <c r="M5" s="105"/>
      <c r="N5" s="105">
        <v>0</v>
      </c>
      <c r="O5" s="105" t="s">
        <v>42</v>
      </c>
      <c r="P5" s="102">
        <v>7</v>
      </c>
      <c r="Q5" s="105"/>
      <c r="R5" s="11">
        <v>0</v>
      </c>
      <c r="S5" s="105"/>
      <c r="T5" s="11">
        <v>0</v>
      </c>
      <c r="U5" s="105"/>
      <c r="V5" s="11">
        <v>0</v>
      </c>
      <c r="W5" s="105"/>
      <c r="X5" s="11">
        <v>0</v>
      </c>
      <c r="Y5" s="5">
        <v>1</v>
      </c>
      <c r="Z5" s="11"/>
      <c r="AA5" s="11"/>
      <c r="AB5" s="11"/>
      <c r="AC5" s="11"/>
      <c r="AD5" s="5">
        <v>1</v>
      </c>
      <c r="AE5" s="5">
        <v>5</v>
      </c>
      <c r="AF5" s="95" t="s">
        <v>220</v>
      </c>
      <c r="AG5" s="101"/>
    </row>
    <row r="6" spans="1:33" s="99" customFormat="1" ht="42">
      <c r="A6" s="29" t="s">
        <v>221</v>
      </c>
      <c r="B6" s="11" t="s">
        <v>222</v>
      </c>
      <c r="C6" s="11" t="s">
        <v>30</v>
      </c>
      <c r="D6" s="5" t="s">
        <v>27</v>
      </c>
      <c r="E6" s="96" t="s">
        <v>223</v>
      </c>
      <c r="F6" s="11">
        <v>1</v>
      </c>
      <c r="G6" s="11">
        <v>0</v>
      </c>
      <c r="H6" s="11">
        <v>0</v>
      </c>
      <c r="I6" s="105"/>
      <c r="J6" s="105">
        <v>0</v>
      </c>
      <c r="K6" s="105"/>
      <c r="L6" s="106">
        <v>0</v>
      </c>
      <c r="M6" s="105"/>
      <c r="N6" s="105">
        <v>0</v>
      </c>
      <c r="O6" s="105"/>
      <c r="P6" s="11">
        <v>0</v>
      </c>
      <c r="Q6" s="105"/>
      <c r="R6" s="11">
        <v>0</v>
      </c>
      <c r="S6" s="105"/>
      <c r="T6" s="11">
        <v>0</v>
      </c>
      <c r="U6" s="105"/>
      <c r="V6" s="11">
        <v>0</v>
      </c>
      <c r="W6" s="105"/>
      <c r="X6" s="11">
        <v>0</v>
      </c>
      <c r="Y6" s="11">
        <v>3</v>
      </c>
      <c r="Z6" s="11">
        <v>0</v>
      </c>
      <c r="AA6" s="11">
        <v>0</v>
      </c>
      <c r="AB6" s="11">
        <v>1</v>
      </c>
      <c r="AC6" s="11">
        <v>0</v>
      </c>
      <c r="AD6" s="11">
        <v>0</v>
      </c>
      <c r="AE6" s="11">
        <v>2</v>
      </c>
      <c r="AF6" s="96" t="s">
        <v>224</v>
      </c>
      <c r="AG6" s="101"/>
    </row>
    <row r="7" spans="1:33" s="99" customFormat="1" ht="78.75" customHeight="1">
      <c r="A7" s="90">
        <v>45733</v>
      </c>
      <c r="B7" s="11" t="s">
        <v>225</v>
      </c>
      <c r="C7" s="11" t="s">
        <v>30</v>
      </c>
      <c r="D7" s="5" t="s">
        <v>27</v>
      </c>
      <c r="E7" s="92" t="s">
        <v>226</v>
      </c>
      <c r="F7" s="11">
        <v>0</v>
      </c>
      <c r="G7" s="11">
        <v>0</v>
      </c>
      <c r="H7" s="11">
        <v>13</v>
      </c>
      <c r="I7" s="105"/>
      <c r="J7" s="105">
        <v>0</v>
      </c>
      <c r="K7" s="105"/>
      <c r="L7" s="106">
        <v>0</v>
      </c>
      <c r="M7" s="105"/>
      <c r="N7" s="105">
        <v>0</v>
      </c>
      <c r="O7" s="105" t="s">
        <v>42</v>
      </c>
      <c r="P7" s="103">
        <v>39</v>
      </c>
      <c r="Q7" s="105"/>
      <c r="R7" s="11">
        <v>0</v>
      </c>
      <c r="S7" s="105"/>
      <c r="T7" s="11">
        <v>0</v>
      </c>
      <c r="U7" s="105"/>
      <c r="V7" s="11">
        <v>0</v>
      </c>
      <c r="W7" s="105"/>
      <c r="X7" s="11">
        <v>0</v>
      </c>
      <c r="Y7" s="11">
        <v>1</v>
      </c>
      <c r="Z7" s="11">
        <v>2</v>
      </c>
      <c r="AA7" s="11">
        <v>1</v>
      </c>
      <c r="AB7" s="11">
        <v>0</v>
      </c>
      <c r="AC7" s="11">
        <v>1</v>
      </c>
      <c r="AD7" s="11">
        <v>0</v>
      </c>
      <c r="AE7" s="11">
        <v>5</v>
      </c>
      <c r="AF7" s="96" t="s">
        <v>227</v>
      </c>
      <c r="AG7" s="101"/>
    </row>
    <row r="8" spans="1:33" s="99" customFormat="1" ht="84.75">
      <c r="A8" s="90">
        <v>45734</v>
      </c>
      <c r="B8" s="11" t="s">
        <v>228</v>
      </c>
      <c r="C8" s="11" t="s">
        <v>30</v>
      </c>
      <c r="D8" s="5" t="s">
        <v>31</v>
      </c>
      <c r="E8" s="97" t="s">
        <v>229</v>
      </c>
      <c r="F8" s="11">
        <v>2</v>
      </c>
      <c r="G8" s="11">
        <v>0</v>
      </c>
      <c r="H8" s="11">
        <v>0</v>
      </c>
      <c r="I8" s="105"/>
      <c r="J8" s="105">
        <v>0</v>
      </c>
      <c r="K8" s="105"/>
      <c r="L8" s="106">
        <v>0</v>
      </c>
      <c r="M8" s="105"/>
      <c r="N8" s="105">
        <v>0</v>
      </c>
      <c r="O8" s="105"/>
      <c r="P8" s="11">
        <v>0</v>
      </c>
      <c r="Q8" s="105"/>
      <c r="R8" s="11">
        <v>0</v>
      </c>
      <c r="S8" s="105"/>
      <c r="T8" s="11">
        <v>0</v>
      </c>
      <c r="U8" s="105"/>
      <c r="V8" s="11">
        <v>0</v>
      </c>
      <c r="W8" s="105"/>
      <c r="X8" s="11">
        <v>0</v>
      </c>
      <c r="Y8" s="11">
        <v>2</v>
      </c>
      <c r="Z8" s="11">
        <v>0</v>
      </c>
      <c r="AA8" s="11">
        <v>0</v>
      </c>
      <c r="AB8" s="11">
        <v>4</v>
      </c>
      <c r="AC8" s="11">
        <v>0</v>
      </c>
      <c r="AD8" s="11">
        <v>0</v>
      </c>
      <c r="AE8" s="11">
        <v>2</v>
      </c>
      <c r="AF8" s="95" t="s">
        <v>230</v>
      </c>
      <c r="AG8" s="101"/>
    </row>
    <row r="9" spans="1:33" s="99" customFormat="1" ht="47.25" customHeight="1">
      <c r="A9" s="90">
        <v>45735</v>
      </c>
      <c r="B9" s="11" t="s">
        <v>231</v>
      </c>
      <c r="C9" s="11" t="s">
        <v>30</v>
      </c>
      <c r="D9" s="5" t="s">
        <v>18</v>
      </c>
      <c r="E9" s="94" t="s">
        <v>232</v>
      </c>
      <c r="F9" s="11">
        <v>0</v>
      </c>
      <c r="G9" s="11">
        <v>0</v>
      </c>
      <c r="H9" s="11">
        <v>0</v>
      </c>
      <c r="I9" s="105"/>
      <c r="J9" s="105">
        <v>0</v>
      </c>
      <c r="K9" s="105"/>
      <c r="L9" s="106">
        <v>0</v>
      </c>
      <c r="M9" s="105"/>
      <c r="N9" s="105">
        <v>0</v>
      </c>
      <c r="O9" s="105"/>
      <c r="P9" s="11">
        <v>0</v>
      </c>
      <c r="Q9" s="105"/>
      <c r="R9" s="11">
        <v>0</v>
      </c>
      <c r="S9" s="105"/>
      <c r="T9" s="11">
        <v>0</v>
      </c>
      <c r="U9" s="105"/>
      <c r="V9" s="11">
        <v>0</v>
      </c>
      <c r="W9" s="105"/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1</v>
      </c>
      <c r="AD9" s="11">
        <v>0</v>
      </c>
      <c r="AE9" s="11">
        <v>0</v>
      </c>
      <c r="AF9" s="11" t="s">
        <v>233</v>
      </c>
      <c r="AG9" s="101"/>
    </row>
    <row r="10" spans="1:33" s="99" customFormat="1" ht="72.75">
      <c r="A10" s="90">
        <v>45736</v>
      </c>
      <c r="B10" s="11" t="s">
        <v>234</v>
      </c>
      <c r="C10" s="11" t="s">
        <v>30</v>
      </c>
      <c r="D10" s="5" t="s">
        <v>18</v>
      </c>
      <c r="E10" s="97" t="s">
        <v>19</v>
      </c>
      <c r="F10" s="11">
        <v>0</v>
      </c>
      <c r="G10" s="11">
        <v>0</v>
      </c>
      <c r="H10" s="11">
        <v>2</v>
      </c>
      <c r="I10" s="11"/>
      <c r="J10" s="11">
        <v>0</v>
      </c>
      <c r="K10" s="11"/>
      <c r="L10" s="11">
        <v>0</v>
      </c>
      <c r="M10" s="11"/>
      <c r="N10" s="11">
        <v>0</v>
      </c>
      <c r="O10" s="105" t="s">
        <v>42</v>
      </c>
      <c r="P10" s="11">
        <v>2</v>
      </c>
      <c r="Q10" s="11"/>
      <c r="R10" s="11">
        <v>0</v>
      </c>
      <c r="S10" s="105"/>
      <c r="T10" s="11">
        <v>0</v>
      </c>
      <c r="U10" s="11"/>
      <c r="V10" s="11">
        <v>0</v>
      </c>
      <c r="W10" s="11"/>
      <c r="X10" s="11">
        <v>0</v>
      </c>
      <c r="Y10" s="11">
        <v>1</v>
      </c>
      <c r="Z10" s="11">
        <v>1</v>
      </c>
      <c r="AA10" s="11">
        <v>0</v>
      </c>
      <c r="AB10" s="11">
        <v>1</v>
      </c>
      <c r="AC10" s="11">
        <v>1</v>
      </c>
      <c r="AD10" s="121">
        <v>0</v>
      </c>
      <c r="AE10" s="11">
        <v>2</v>
      </c>
      <c r="AF10" s="9" t="s">
        <v>235</v>
      </c>
      <c r="AG10" s="101"/>
    </row>
    <row r="11" spans="1:33" ht="24.75" customHeight="1">
      <c r="A11" s="29"/>
      <c r="B11" s="11"/>
      <c r="C11" s="63"/>
      <c r="D11" s="15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27"/>
    </row>
    <row r="12" spans="1:33" ht="24.75" customHeight="1">
      <c r="A12" s="29"/>
      <c r="B12" s="11"/>
      <c r="C12" s="63"/>
      <c r="D12" s="15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27"/>
    </row>
    <row r="13" spans="1:33" ht="24.75" customHeight="1">
      <c r="A13" s="29"/>
      <c r="B13" s="11"/>
      <c r="C13" s="63"/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27"/>
    </row>
    <row r="14" spans="1:33" ht="24.75" customHeight="1">
      <c r="A14" s="29"/>
      <c r="B14" s="11"/>
      <c r="C14" s="63"/>
      <c r="D14" s="15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27"/>
    </row>
    <row r="15" spans="1:33" ht="24.75" customHeight="1">
      <c r="A15" s="29"/>
      <c r="B15" s="11"/>
      <c r="C15" s="63"/>
      <c r="D15" s="15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27"/>
    </row>
    <row r="16" spans="1:33" ht="24.75" customHeight="1">
      <c r="A16" s="29"/>
      <c r="B16" s="11"/>
      <c r="C16" s="63"/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27"/>
    </row>
    <row r="17" spans="1:33" ht="24.75" customHeight="1">
      <c r="A17" s="29"/>
      <c r="B17" s="11"/>
      <c r="C17" s="63"/>
      <c r="D17" s="15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27"/>
    </row>
    <row r="18" spans="1:33" ht="24.75" customHeight="1">
      <c r="A18" s="29"/>
      <c r="B18" s="11"/>
      <c r="C18" s="63"/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27"/>
    </row>
    <row r="19" spans="1:33" ht="24.75" customHeight="1">
      <c r="A19" s="31"/>
      <c r="B19" s="32"/>
      <c r="C19" s="63"/>
      <c r="D19" s="15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4"/>
    </row>
    <row r="20" spans="1:33" ht="24.75" customHeight="1">
      <c r="A20" s="35"/>
      <c r="B20" s="35"/>
      <c r="C20" s="63"/>
      <c r="D20" s="1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</row>
    <row r="21" spans="1:33" ht="24.75" customHeight="1">
      <c r="A21" s="16"/>
      <c r="B21" s="16"/>
      <c r="C21" s="63"/>
      <c r="D21" s="15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1:33" ht="24.75" customHeight="1">
      <c r="A22" s="16"/>
      <c r="B22" s="16"/>
      <c r="C22" s="63"/>
      <c r="D22" s="15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1:33" ht="24.75" customHeight="1">
      <c r="A23" s="16"/>
      <c r="B23" s="16"/>
      <c r="C23" s="63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ht="24.75" customHeight="1">
      <c r="A24" s="16"/>
      <c r="B24" s="16"/>
      <c r="C24" s="63"/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pans="1:33" ht="24.75" customHeight="1">
      <c r="A25" s="16"/>
      <c r="B25" s="16"/>
      <c r="C25" s="63"/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spans="1:33" ht="24.75" customHeight="1">
      <c r="A26" s="16"/>
      <c r="B26" s="16"/>
      <c r="C26" s="63"/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ht="24.75" customHeight="1">
      <c r="A27" s="16"/>
      <c r="B27" s="16"/>
      <c r="C27" s="63"/>
      <c r="D27" s="15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spans="1:33" ht="24.75" customHeight="1">
      <c r="A28" s="16"/>
      <c r="B28" s="16"/>
      <c r="C28" s="63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spans="1:33" ht="24.75" customHeight="1">
      <c r="A29" s="16"/>
      <c r="B29" s="16"/>
      <c r="C29" s="63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spans="1:33" ht="24.75" customHeight="1">
      <c r="A30" s="16"/>
      <c r="B30" s="16"/>
      <c r="C30" s="63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spans="1:33" ht="15.75" customHeight="1"/>
    <row r="32" spans="1:3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 count="2">
    <dataValidation type="list" allowBlank="1" showErrorMessage="1" sqref="D11:D27" xr:uid="{00000000-0002-0000-0100-000000000000}">
      <formula1>"Baró de Viver,Can Baró,Can Peguera,Canyelles,Ciutat Meridiana,Diagonal Mar i el Front Marítim del Poblenou,El Baix Guinardó,El Barri Gòtic,El Besòs i el Maresme,El Bon Pastor,El Camp d'en Grassot i Gràcia Nova,El Camp de l'Arpa del Clot,El Carmel,El Clot,"&amp;"El Coll,El Congrés i els Indians,El Fort Pienc,El Guinardó,El Parc i la Llacuna del Poblenou,El Poble-sec,El Poblenou,El Putxet i el Farró,El Raval,Horta,Hostafrancs,L'Antiga Esquerra de l'Eixample,La Barceloneta,La Bordeta,La Clota,La Dreta de l'Eixample"&amp;",La Font d'en Fargues,La Font de la Guatlla,La Guineueta,La Marina de Port,La Marina del Prat Vermell,La Maternitat i Sant Ramon,La Nova Esquerra de l'Eixample,La Prosperitat,La Sagrada Família,La Sagrera,La Salut,La Teixonera,La Trinitat Nova,La Trinitat"&amp;" Vella,La Vall d'Hebron,La Verneda i la Pau,La Vila Olímpica del Poblenou,Les Corts,Les Roquetes,Les Tres Torres,Montbau,Navas,Pedralbes,Porta,Provençals del Poblenou,Sant Andreu,Sant Antoni,Sant Genís dels Agudells,Sant Gervasi - Galvany,Sant Gervasi - l"&amp;"a Bonanova,Sant Martí de Provençals,Sant Pere, Santa Caterina i la Ribera,Sants,Sants-Badal,Sarrià,Torre Baró,Turó de la Peira,Vallbona,Vallcarca i els Penitents,Vallvidrera, el Tibidabo i les Planes,Verdun,Vila de Gràcia,Vilapicina i la Torre Llobeta"</formula1>
    </dataValidation>
    <dataValidation type="list" allowBlank="1" showErrorMessage="1" sqref="C6:C27" xr:uid="{00000000-0002-0000-0100-000001000000}">
      <formula1>"Ciutat Vella,Eixample,Gràcia,Horta-Guinardó,Les Corts,Nou Barris,Sant Andreu,Sant Martí ,Sants-Montjuïc,Sarrià-Sant Gervasi"</formula1>
    </dataValidation>
  </dataValidations>
  <pageMargins left="0.7" right="0.7" top="0.75" bottom="0.75" header="0" footer="0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4DB0EE31-E60D-41EE-9F46-6147776095D8}">
          <x14:formula1>
            <xm:f>Contingut_llista_desplegable!$B$1:$B$10</xm:f>
          </x14:formula1>
          <xm:sqref>C2:C5</xm:sqref>
        </x14:dataValidation>
        <x14:dataValidation type="list" allowBlank="1" showErrorMessage="1" xr:uid="{F2728FBC-1195-407D-A019-7A733C173499}">
          <x14:formula1>
            <xm:f>Contingut_llista_desplegable!$I$2:$I$74</xm:f>
          </x14:formula1>
          <xm:sqref>D2:D10</xm:sqref>
        </x14:dataValidation>
        <x14:dataValidation type="list" allowBlank="1" showInputMessage="1" showErrorMessage="1" xr:uid="{E5419D7F-6F7A-40D3-B474-DD48BEDDD0FB}">
          <x14:formula1>
            <xm:f>Contingut_llista_desplegable!$L$2:$L$3</xm:f>
          </x14:formula1>
          <xm:sqref>I2:I9 K2:K9 M2:M9 W2:W9 Q2:Q9 S2:S10 U2:U9 O2:O10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00"/>
  <sheetViews>
    <sheetView workbookViewId="0"/>
  </sheetViews>
  <sheetFormatPr defaultColWidth="12.5703125" defaultRowHeight="15" customHeight="1"/>
  <cols>
    <col min="1" max="3" width="10.5703125" customWidth="1"/>
    <col min="4" max="4" width="3.42578125" customWidth="1"/>
    <col min="5" max="5" width="3.140625" customWidth="1"/>
    <col min="6" max="6" width="3.42578125" customWidth="1"/>
    <col min="7" max="22" width="3.7109375" customWidth="1"/>
    <col min="23" max="23" width="3.42578125" customWidth="1"/>
    <col min="24" max="30" width="3.7109375" customWidth="1"/>
    <col min="31" max="31" width="13.28515625" customWidth="1"/>
  </cols>
  <sheetData>
    <row r="1" spans="1:31">
      <c r="A1" s="132" t="s">
        <v>191</v>
      </c>
      <c r="B1" s="133" t="s">
        <v>192</v>
      </c>
      <c r="C1" s="134" t="s">
        <v>2</v>
      </c>
      <c r="D1" s="124" t="s">
        <v>236</v>
      </c>
      <c r="E1" s="135" t="s">
        <v>194</v>
      </c>
      <c r="F1" s="124" t="s">
        <v>3</v>
      </c>
      <c r="G1" s="125" t="s">
        <v>237</v>
      </c>
      <c r="H1" s="137"/>
      <c r="I1" s="137"/>
      <c r="J1" s="137"/>
      <c r="K1" s="137"/>
      <c r="L1" s="137"/>
      <c r="M1" s="137"/>
      <c r="N1" s="138"/>
      <c r="O1" s="127" t="s">
        <v>238</v>
      </c>
      <c r="P1" s="137"/>
      <c r="Q1" s="137"/>
      <c r="R1" s="137"/>
      <c r="S1" s="137"/>
      <c r="T1" s="137"/>
      <c r="U1" s="137"/>
      <c r="V1" s="138"/>
      <c r="W1" s="130" t="s">
        <v>204</v>
      </c>
      <c r="X1" s="131" t="s">
        <v>239</v>
      </c>
      <c r="Y1" s="139"/>
      <c r="Z1" s="139"/>
      <c r="AA1" s="139"/>
      <c r="AB1" s="139"/>
      <c r="AC1" s="139"/>
      <c r="AD1" s="140"/>
      <c r="AE1" s="122" t="s">
        <v>16</v>
      </c>
    </row>
    <row r="2" spans="1:31">
      <c r="A2" s="141"/>
      <c r="B2" s="142"/>
      <c r="C2" s="142"/>
      <c r="D2" s="142"/>
      <c r="E2" s="142"/>
      <c r="F2" s="142"/>
      <c r="G2" s="143"/>
      <c r="H2" s="144"/>
      <c r="I2" s="144"/>
      <c r="J2" s="144"/>
      <c r="K2" s="144"/>
      <c r="L2" s="144"/>
      <c r="M2" s="144"/>
      <c r="N2" s="145"/>
      <c r="O2" s="143"/>
      <c r="P2" s="144"/>
      <c r="Q2" s="144"/>
      <c r="R2" s="144"/>
      <c r="S2" s="144"/>
      <c r="T2" s="144"/>
      <c r="U2" s="144"/>
      <c r="V2" s="145"/>
      <c r="W2" s="142"/>
      <c r="X2" s="123" t="s">
        <v>9</v>
      </c>
      <c r="Y2" s="123" t="s">
        <v>10</v>
      </c>
      <c r="Z2" s="123" t="s">
        <v>11</v>
      </c>
      <c r="AA2" s="123" t="s">
        <v>12</v>
      </c>
      <c r="AB2" s="123" t="s">
        <v>13</v>
      </c>
      <c r="AC2" s="128" t="s">
        <v>15</v>
      </c>
      <c r="AD2" s="123" t="s">
        <v>206</v>
      </c>
      <c r="AE2" s="146"/>
    </row>
    <row r="3" spans="1:31">
      <c r="A3" s="141"/>
      <c r="B3" s="142"/>
      <c r="C3" s="142"/>
      <c r="D3" s="142"/>
      <c r="E3" s="142"/>
      <c r="F3" s="142"/>
      <c r="G3" s="129" t="s">
        <v>42</v>
      </c>
      <c r="H3" s="147"/>
      <c r="I3" s="147"/>
      <c r="J3" s="148"/>
      <c r="K3" s="129" t="s">
        <v>47</v>
      </c>
      <c r="L3" s="147"/>
      <c r="M3" s="147"/>
      <c r="N3" s="148"/>
      <c r="O3" s="126" t="s">
        <v>42</v>
      </c>
      <c r="P3" s="147"/>
      <c r="Q3" s="147"/>
      <c r="R3" s="148"/>
      <c r="S3" s="126" t="s">
        <v>47</v>
      </c>
      <c r="T3" s="147"/>
      <c r="U3" s="147"/>
      <c r="V3" s="148"/>
      <c r="W3" s="142"/>
      <c r="X3" s="142"/>
      <c r="Y3" s="142"/>
      <c r="Z3" s="142"/>
      <c r="AA3" s="142"/>
      <c r="AB3" s="142"/>
      <c r="AC3" s="142"/>
      <c r="AD3" s="142"/>
      <c r="AE3" s="146"/>
    </row>
    <row r="4" spans="1:31">
      <c r="A4" s="149"/>
      <c r="B4" s="150"/>
      <c r="C4" s="150"/>
      <c r="D4" s="150"/>
      <c r="E4" s="150"/>
      <c r="F4" s="150"/>
      <c r="G4" s="36" t="s">
        <v>240</v>
      </c>
      <c r="H4" s="37" t="s">
        <v>241</v>
      </c>
      <c r="I4" s="37" t="s">
        <v>242</v>
      </c>
      <c r="J4" s="37" t="s">
        <v>243</v>
      </c>
      <c r="K4" s="37" t="s">
        <v>240</v>
      </c>
      <c r="L4" s="37" t="s">
        <v>244</v>
      </c>
      <c r="M4" s="37" t="s">
        <v>242</v>
      </c>
      <c r="N4" s="37" t="s">
        <v>243</v>
      </c>
      <c r="O4" s="38" t="s">
        <v>240</v>
      </c>
      <c r="P4" s="39" t="s">
        <v>241</v>
      </c>
      <c r="Q4" s="39" t="s">
        <v>242</v>
      </c>
      <c r="R4" s="39" t="s">
        <v>243</v>
      </c>
      <c r="S4" s="39" t="s">
        <v>240</v>
      </c>
      <c r="T4" s="39" t="s">
        <v>244</v>
      </c>
      <c r="U4" s="39" t="s">
        <v>242</v>
      </c>
      <c r="V4" s="39" t="s">
        <v>243</v>
      </c>
      <c r="W4" s="150"/>
      <c r="X4" s="150"/>
      <c r="Y4" s="150"/>
      <c r="Z4" s="150"/>
      <c r="AA4" s="150"/>
      <c r="AB4" s="150"/>
      <c r="AC4" s="150"/>
      <c r="AD4" s="150"/>
      <c r="AE4" s="151"/>
    </row>
    <row r="5" spans="1:31" ht="24.75" customHeight="1">
      <c r="A5" s="40"/>
      <c r="B5" s="41"/>
      <c r="C5" s="42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3"/>
    </row>
    <row r="6" spans="1:31" ht="24.75" customHeight="1">
      <c r="A6" s="44"/>
      <c r="B6" s="16"/>
      <c r="C6" s="4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27"/>
    </row>
    <row r="7" spans="1:31" ht="24.75" customHeight="1">
      <c r="A7" s="44"/>
      <c r="B7" s="16"/>
      <c r="C7" s="30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27"/>
    </row>
    <row r="8" spans="1:31" ht="24.75" customHeight="1">
      <c r="A8" s="44"/>
      <c r="B8" s="16"/>
      <c r="C8" s="30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27"/>
    </row>
    <row r="9" spans="1:31" ht="24.75" customHeight="1">
      <c r="A9" s="44"/>
      <c r="B9" s="16"/>
      <c r="C9" s="30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27"/>
    </row>
    <row r="10" spans="1:31" ht="24.75" customHeight="1">
      <c r="A10" s="44"/>
      <c r="B10" s="16"/>
      <c r="C10" s="30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27"/>
    </row>
    <row r="11" spans="1:31" ht="24.75" customHeight="1">
      <c r="A11" s="44"/>
      <c r="B11" s="16"/>
      <c r="C11" s="30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27"/>
    </row>
    <row r="12" spans="1:31" ht="24.75" customHeight="1">
      <c r="A12" s="44"/>
      <c r="B12" s="16"/>
      <c r="C12" s="30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27"/>
    </row>
    <row r="13" spans="1:31" ht="24.75" customHeight="1">
      <c r="A13" s="44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27"/>
    </row>
    <row r="14" spans="1:31" ht="24.75" customHeight="1">
      <c r="A14" s="44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27"/>
    </row>
    <row r="15" spans="1:31" ht="24.75" customHeight="1">
      <c r="A15" s="44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27"/>
    </row>
    <row r="16" spans="1:31" ht="24.75" customHeight="1">
      <c r="A16" s="44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27"/>
    </row>
    <row r="17" spans="1:31" ht="24.75" customHeight="1">
      <c r="A17" s="44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27"/>
    </row>
    <row r="18" spans="1:31" ht="24.75" customHeight="1">
      <c r="A18" s="44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27"/>
    </row>
    <row r="19" spans="1:31" ht="24.75" customHeight="1">
      <c r="A19" s="44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27"/>
    </row>
    <row r="20" spans="1:31" ht="24.75" customHeight="1">
      <c r="A20" s="44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27"/>
    </row>
    <row r="21" spans="1:31" ht="24.75" customHeight="1">
      <c r="A21" s="44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27"/>
    </row>
    <row r="22" spans="1:31" ht="24.75" customHeight="1">
      <c r="A22" s="46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4"/>
    </row>
    <row r="23" spans="1:31" ht="15.75" customHeight="1"/>
    <row r="24" spans="1:31" ht="15.75" customHeight="1"/>
    <row r="25" spans="1:31" ht="15.75" customHeight="1"/>
    <row r="26" spans="1:31" ht="15.75" customHeight="1"/>
    <row r="27" spans="1:31" ht="15.75" customHeight="1"/>
    <row r="28" spans="1:31" ht="15.75" customHeight="1"/>
    <row r="29" spans="1:31" ht="15.75" customHeight="1"/>
    <row r="30" spans="1:31" ht="15.75" customHeight="1"/>
    <row r="31" spans="1:31" ht="15.75" customHeight="1"/>
    <row r="32" spans="1:3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X1:AD1"/>
    <mergeCell ref="A1:A4"/>
    <mergeCell ref="B1:B4"/>
    <mergeCell ref="C1:C4"/>
    <mergeCell ref="D1:D4"/>
    <mergeCell ref="E1:E4"/>
    <mergeCell ref="AE1:AE4"/>
    <mergeCell ref="X2:X4"/>
    <mergeCell ref="Y2:Y4"/>
    <mergeCell ref="Z2:Z4"/>
    <mergeCell ref="F1:F4"/>
    <mergeCell ref="G1:N2"/>
    <mergeCell ref="O3:R3"/>
    <mergeCell ref="S3:V3"/>
    <mergeCell ref="O1:V2"/>
    <mergeCell ref="AA2:AA4"/>
    <mergeCell ref="AB2:AB4"/>
    <mergeCell ref="AC2:AC4"/>
    <mergeCell ref="AD2:AD4"/>
    <mergeCell ref="G3:J3"/>
    <mergeCell ref="K3:N3"/>
    <mergeCell ref="W1:W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tabSelected="1" workbookViewId="0">
      <selection activeCell="D8" sqref="D8"/>
    </sheetView>
  </sheetViews>
  <sheetFormatPr defaultColWidth="12.5703125" defaultRowHeight="15" customHeight="1"/>
  <cols>
    <col min="1" max="2" width="12.42578125" customWidth="1"/>
    <col min="3" max="3" width="25.28515625" bestFit="1" customWidth="1"/>
    <col min="4" max="4" width="30.140625" style="91" customWidth="1"/>
    <col min="5" max="5" width="10.5703125" customWidth="1"/>
    <col min="6" max="6" width="34.140625" bestFit="1" customWidth="1"/>
    <col min="7" max="7" width="33" bestFit="1" customWidth="1"/>
    <col min="8" max="8" width="10.5703125" customWidth="1"/>
    <col min="9" max="9" width="37.42578125" customWidth="1"/>
    <col min="10" max="26" width="10.5703125" customWidth="1"/>
  </cols>
  <sheetData>
    <row r="1" spans="1:13">
      <c r="A1" s="47" t="s">
        <v>37</v>
      </c>
      <c r="B1" s="17" t="s">
        <v>0</v>
      </c>
      <c r="C1" s="48" t="s">
        <v>1</v>
      </c>
      <c r="D1" s="136" t="s">
        <v>245</v>
      </c>
      <c r="E1" s="49" t="s">
        <v>3</v>
      </c>
      <c r="F1" s="50" t="s">
        <v>246</v>
      </c>
      <c r="G1" s="50" t="s">
        <v>247</v>
      </c>
      <c r="H1" s="51"/>
      <c r="I1" s="52"/>
      <c r="J1" s="85"/>
      <c r="K1" s="51"/>
      <c r="L1" s="51"/>
      <c r="M1" s="53"/>
    </row>
    <row r="2" spans="1:13" ht="15.75">
      <c r="A2" s="6" t="str">
        <f>IFERROR(VLOOKUP(C2,Contingut_llista_desplegable!$I$1:$J$74,2,FALSE),"")</f>
        <v>65</v>
      </c>
      <c r="B2" s="6" t="s">
        <v>17</v>
      </c>
      <c r="C2" s="54" t="s">
        <v>18</v>
      </c>
      <c r="D2" s="54" t="s">
        <v>248</v>
      </c>
      <c r="E2" s="15"/>
      <c r="F2" s="6">
        <v>1</v>
      </c>
      <c r="G2" s="15">
        <v>0</v>
      </c>
      <c r="H2" s="55"/>
      <c r="I2" s="56"/>
      <c r="J2" s="86"/>
      <c r="K2" s="55"/>
      <c r="L2" s="55"/>
      <c r="M2" s="57"/>
    </row>
    <row r="3" spans="1:13" ht="18">
      <c r="A3" s="6" t="str">
        <f>IFERROR(VLOOKUP(C3,Contingut_llista_desplegable!$I$1:$J$74,2,FALSE),"")</f>
        <v>65</v>
      </c>
      <c r="B3" s="6" t="s">
        <v>17</v>
      </c>
      <c r="C3" s="54" t="s">
        <v>18</v>
      </c>
      <c r="D3" s="54" t="s">
        <v>249</v>
      </c>
      <c r="E3" s="6">
        <v>1</v>
      </c>
      <c r="F3" s="6">
        <v>2</v>
      </c>
      <c r="G3" s="15">
        <v>0</v>
      </c>
      <c r="H3" s="58"/>
      <c r="I3" s="59"/>
      <c r="J3" s="86"/>
      <c r="K3" s="58"/>
      <c r="L3" s="58"/>
      <c r="M3" s="58"/>
    </row>
    <row r="4" spans="1:13">
      <c r="A4" s="6" t="str">
        <f>IFERROR(VLOOKUP(C4,Contingut_llista_desplegable!$I$1:$J$74,2,FALSE),"")</f>
        <v>68</v>
      </c>
      <c r="B4" s="6" t="s">
        <v>17</v>
      </c>
      <c r="C4" s="54" t="s">
        <v>31</v>
      </c>
      <c r="D4" s="54" t="s">
        <v>250</v>
      </c>
      <c r="E4" s="6">
        <v>1</v>
      </c>
      <c r="F4" s="15">
        <v>0</v>
      </c>
      <c r="G4" s="15">
        <v>0</v>
      </c>
      <c r="H4" s="60"/>
      <c r="I4" s="59"/>
      <c r="J4" s="86"/>
      <c r="K4" s="61"/>
      <c r="L4" s="61"/>
      <c r="M4" s="61"/>
    </row>
    <row r="5" spans="1:13">
      <c r="A5" s="6" t="str">
        <f>IFERROR(VLOOKUP(C5,Contingut_llista_desplegable!$I$1:$J$74,2,FALSE),"")</f>
        <v>65</v>
      </c>
      <c r="B5" s="6" t="s">
        <v>30</v>
      </c>
      <c r="C5" s="54" t="s">
        <v>18</v>
      </c>
      <c r="D5" s="54" t="s">
        <v>249</v>
      </c>
      <c r="E5" s="6">
        <v>7</v>
      </c>
      <c r="F5" s="93">
        <v>7</v>
      </c>
      <c r="G5" s="15">
        <v>0</v>
      </c>
      <c r="H5" s="60"/>
      <c r="I5" s="59"/>
      <c r="J5" s="86"/>
      <c r="K5" s="61"/>
      <c r="L5" s="61"/>
      <c r="M5" s="61"/>
    </row>
    <row r="6" spans="1:13">
      <c r="A6" s="6" t="str">
        <f>IFERROR(VLOOKUP(C6,Contingut_llista_desplegable!$I$1:$J$74,2,FALSE),"")</f>
        <v>71</v>
      </c>
      <c r="B6" s="6" t="s">
        <v>30</v>
      </c>
      <c r="C6" s="54" t="s">
        <v>27</v>
      </c>
      <c r="D6" s="54" t="s">
        <v>251</v>
      </c>
      <c r="E6" s="6"/>
      <c r="F6" s="93">
        <v>1</v>
      </c>
      <c r="G6" s="15">
        <v>0</v>
      </c>
      <c r="H6" s="61"/>
      <c r="I6" s="59"/>
      <c r="J6" s="86"/>
      <c r="K6" s="61"/>
      <c r="L6" s="61"/>
      <c r="M6" s="61"/>
    </row>
    <row r="7" spans="1:13">
      <c r="A7" s="6" t="str">
        <f>IFERROR(VLOOKUP(C7,Contingut_llista_desplegable!$I$1:$J$74,2,FALSE),"")</f>
        <v>71</v>
      </c>
      <c r="B7" s="6" t="s">
        <v>30</v>
      </c>
      <c r="C7" s="54" t="s">
        <v>27</v>
      </c>
      <c r="D7" s="54" t="s">
        <v>252</v>
      </c>
      <c r="E7" s="6">
        <v>13</v>
      </c>
      <c r="F7" s="93">
        <v>39</v>
      </c>
      <c r="G7" s="15">
        <v>0</v>
      </c>
      <c r="H7" s="62"/>
      <c r="I7" s="59"/>
      <c r="J7" s="86"/>
      <c r="K7" s="61"/>
      <c r="L7" s="61"/>
      <c r="M7" s="61"/>
    </row>
    <row r="8" spans="1:13">
      <c r="A8" s="6" t="str">
        <f>IFERROR(VLOOKUP(C8,Contingut_llista_desplegable!$I$1:$J$74,2,FALSE),"")</f>
        <v>65</v>
      </c>
      <c r="B8" s="15" t="s">
        <v>30</v>
      </c>
      <c r="C8" s="54" t="s">
        <v>18</v>
      </c>
      <c r="D8" s="54" t="s">
        <v>249</v>
      </c>
      <c r="E8" s="15">
        <v>2</v>
      </c>
      <c r="F8" s="15">
        <v>0</v>
      </c>
      <c r="G8" s="15">
        <v>0</v>
      </c>
      <c r="H8" s="61"/>
      <c r="I8" s="59"/>
      <c r="J8" s="86"/>
      <c r="K8" s="61"/>
      <c r="L8" s="61"/>
      <c r="M8" s="61"/>
    </row>
    <row r="9" spans="1:13">
      <c r="A9" s="6"/>
      <c r="B9" s="15"/>
      <c r="C9" s="63"/>
      <c r="D9" s="63"/>
      <c r="E9" s="15"/>
      <c r="F9" s="15"/>
      <c r="G9" s="15"/>
      <c r="H9" s="61"/>
      <c r="I9" s="59"/>
      <c r="J9" s="86"/>
      <c r="K9" s="61"/>
      <c r="L9" s="61"/>
      <c r="M9" s="61"/>
    </row>
    <row r="10" spans="1:13">
      <c r="A10" s="6"/>
      <c r="B10" s="15"/>
      <c r="C10" s="63"/>
      <c r="D10" s="63"/>
      <c r="E10" s="15"/>
      <c r="F10" s="15"/>
      <c r="G10" s="15"/>
      <c r="H10" s="61"/>
      <c r="I10" s="59"/>
      <c r="J10" s="86"/>
      <c r="K10" s="61"/>
      <c r="L10" s="61"/>
      <c r="M10" s="61"/>
    </row>
    <row r="11" spans="1:13">
      <c r="A11" s="6"/>
      <c r="B11" s="15"/>
      <c r="C11" s="63"/>
      <c r="D11" s="63"/>
      <c r="E11" s="15"/>
      <c r="F11" s="15"/>
      <c r="G11" s="15"/>
      <c r="H11" s="61"/>
      <c r="I11" s="59"/>
      <c r="J11" s="86"/>
      <c r="K11" s="61"/>
      <c r="L11" s="61"/>
      <c r="M11" s="61"/>
    </row>
    <row r="12" spans="1:13">
      <c r="A12" s="6"/>
      <c r="B12" s="15"/>
      <c r="C12" s="63"/>
      <c r="D12" s="63"/>
      <c r="E12" s="15"/>
      <c r="F12" s="15"/>
      <c r="G12" s="15"/>
      <c r="H12" s="61"/>
      <c r="I12" s="59"/>
      <c r="J12" s="86"/>
      <c r="K12" s="61"/>
      <c r="L12" s="61"/>
      <c r="M12" s="61"/>
    </row>
    <row r="13" spans="1:13">
      <c r="A13" s="6"/>
      <c r="B13" s="15"/>
      <c r="C13" s="63"/>
      <c r="D13" s="63"/>
      <c r="E13" s="15"/>
      <c r="F13" s="15"/>
      <c r="G13" s="15"/>
      <c r="H13" s="61"/>
      <c r="I13" s="59"/>
      <c r="J13" s="86"/>
      <c r="K13" s="61"/>
      <c r="L13" s="61"/>
      <c r="M13" s="61"/>
    </row>
    <row r="14" spans="1:13">
      <c r="A14" s="6"/>
      <c r="B14" s="15"/>
      <c r="C14" s="63"/>
      <c r="D14" s="63"/>
      <c r="E14" s="15"/>
      <c r="F14" s="15"/>
      <c r="G14" s="15"/>
      <c r="H14" s="61"/>
      <c r="I14" s="59"/>
      <c r="J14" s="86"/>
      <c r="K14" s="61"/>
      <c r="L14" s="61"/>
      <c r="M14" s="61"/>
    </row>
    <row r="15" spans="1:13">
      <c r="A15" s="6"/>
      <c r="B15" s="15"/>
      <c r="C15" s="63"/>
      <c r="D15" s="63"/>
      <c r="E15" s="15"/>
      <c r="F15" s="15"/>
      <c r="G15" s="15"/>
      <c r="H15" s="61"/>
      <c r="I15" s="59"/>
      <c r="J15" s="86"/>
      <c r="K15" s="61"/>
      <c r="L15" s="61"/>
      <c r="M15" s="61"/>
    </row>
    <row r="16" spans="1:13">
      <c r="A16" s="6"/>
      <c r="B16" s="15"/>
      <c r="C16" s="63"/>
      <c r="D16" s="63"/>
      <c r="E16" s="15"/>
      <c r="F16" s="15"/>
      <c r="G16" s="15"/>
      <c r="H16" s="61"/>
      <c r="I16" s="59"/>
      <c r="J16" s="86"/>
      <c r="K16" s="61"/>
      <c r="L16" s="61"/>
      <c r="M16" s="61"/>
    </row>
    <row r="17" spans="1:13">
      <c r="A17" s="6"/>
      <c r="B17" s="15"/>
      <c r="C17" s="63"/>
      <c r="D17" s="63"/>
      <c r="E17" s="15"/>
      <c r="F17" s="15"/>
      <c r="G17" s="15"/>
      <c r="H17" s="61"/>
      <c r="I17" s="59"/>
      <c r="J17" s="86"/>
      <c r="K17" s="61"/>
      <c r="L17" s="61"/>
      <c r="M17" s="61"/>
    </row>
    <row r="18" spans="1:13">
      <c r="A18" s="6"/>
      <c r="B18" s="15"/>
      <c r="C18" s="63"/>
      <c r="D18" s="63"/>
      <c r="E18" s="15"/>
      <c r="F18" s="15"/>
      <c r="G18" s="15"/>
      <c r="H18" s="61"/>
      <c r="I18" s="59"/>
      <c r="J18" s="86"/>
      <c r="K18" s="61"/>
      <c r="L18" s="61"/>
      <c r="M18" s="61"/>
    </row>
    <row r="19" spans="1:13">
      <c r="A19" s="6"/>
      <c r="B19" s="15"/>
      <c r="C19" s="63"/>
      <c r="D19" s="63"/>
      <c r="E19" s="15"/>
      <c r="F19" s="15"/>
      <c r="G19" s="15"/>
      <c r="H19" s="61"/>
      <c r="I19" s="59"/>
      <c r="J19" s="86"/>
      <c r="K19" s="61"/>
      <c r="L19" s="61"/>
      <c r="M19" s="61"/>
    </row>
    <row r="20" spans="1:13">
      <c r="A20" s="6"/>
      <c r="B20" s="15"/>
      <c r="C20" s="63"/>
      <c r="D20" s="63"/>
      <c r="E20" s="15"/>
      <c r="F20" s="15"/>
      <c r="G20" s="15"/>
      <c r="H20" s="61"/>
      <c r="I20" s="59"/>
      <c r="J20" s="86"/>
      <c r="K20" s="61"/>
      <c r="L20" s="61"/>
      <c r="M20" s="61"/>
    </row>
    <row r="21" spans="1:13" ht="15.75" customHeight="1">
      <c r="A21" s="6"/>
      <c r="B21" s="15"/>
      <c r="C21" s="63"/>
      <c r="D21" s="63"/>
      <c r="E21" s="15"/>
      <c r="F21" s="15"/>
      <c r="G21" s="15"/>
      <c r="H21" s="61"/>
      <c r="I21" s="59"/>
      <c r="J21" s="86"/>
      <c r="K21" s="61"/>
      <c r="L21" s="61"/>
      <c r="M21" s="61"/>
    </row>
    <row r="22" spans="1:13" ht="15.75" customHeight="1">
      <c r="A22" s="6"/>
      <c r="B22" s="15"/>
      <c r="C22" s="63"/>
      <c r="D22" s="63"/>
      <c r="E22" s="15"/>
      <c r="F22" s="15"/>
      <c r="G22" s="15"/>
      <c r="H22" s="61"/>
      <c r="I22" s="59"/>
      <c r="J22" s="86"/>
      <c r="K22" s="61"/>
      <c r="L22" s="61"/>
      <c r="M22" s="61"/>
    </row>
    <row r="23" spans="1:13" ht="15.75" customHeight="1">
      <c r="A23" s="6"/>
      <c r="B23" s="15"/>
      <c r="C23" s="63"/>
      <c r="D23" s="63"/>
      <c r="E23" s="15"/>
      <c r="F23" s="15"/>
      <c r="G23" s="15"/>
      <c r="H23" s="61"/>
      <c r="I23" s="59"/>
      <c r="J23" s="86"/>
      <c r="K23" s="61"/>
      <c r="L23" s="61"/>
      <c r="M23" s="61"/>
    </row>
    <row r="24" spans="1:13" ht="15.75" customHeight="1">
      <c r="A24" s="6"/>
      <c r="B24" s="15"/>
      <c r="C24" s="63"/>
      <c r="D24" s="63"/>
      <c r="E24" s="15"/>
      <c r="F24" s="15"/>
      <c r="G24" s="15"/>
      <c r="H24" s="61"/>
      <c r="I24" s="59"/>
      <c r="J24" s="86"/>
      <c r="K24" s="61"/>
      <c r="L24" s="61"/>
      <c r="M24" s="61"/>
    </row>
    <row r="25" spans="1:13" ht="15.75" customHeight="1">
      <c r="A25" s="6"/>
      <c r="B25" s="15"/>
      <c r="C25" s="63"/>
      <c r="D25" s="63"/>
      <c r="E25" s="15"/>
      <c r="F25" s="15"/>
      <c r="G25" s="15"/>
      <c r="H25" s="61"/>
      <c r="I25" s="59"/>
      <c r="J25" s="86"/>
      <c r="K25" s="61"/>
      <c r="L25" s="61"/>
      <c r="M25" s="61"/>
    </row>
    <row r="26" spans="1:13" ht="15.75" customHeight="1">
      <c r="A26" s="6"/>
      <c r="B26" s="15"/>
      <c r="C26" s="63"/>
      <c r="D26" s="63"/>
      <c r="E26" s="15"/>
      <c r="F26" s="15"/>
      <c r="G26" s="15"/>
      <c r="H26" s="61"/>
      <c r="I26" s="59"/>
      <c r="J26" s="86"/>
      <c r="K26" s="61"/>
      <c r="L26" s="61"/>
      <c r="M26" s="61"/>
    </row>
    <row r="27" spans="1:13" ht="15.75" customHeight="1">
      <c r="A27" s="6"/>
      <c r="B27" s="15"/>
      <c r="C27" s="63"/>
      <c r="D27" s="63"/>
      <c r="E27" s="15"/>
      <c r="F27" s="15"/>
      <c r="G27" s="15"/>
      <c r="H27" s="61"/>
      <c r="I27" s="59"/>
      <c r="J27" s="86"/>
      <c r="K27" s="61"/>
      <c r="L27" s="61"/>
      <c r="M27" s="61"/>
    </row>
    <row r="28" spans="1:13" ht="15.75" customHeight="1">
      <c r="A28" s="6"/>
      <c r="B28" s="15"/>
      <c r="C28" s="63"/>
      <c r="D28" s="63"/>
      <c r="E28" s="15"/>
      <c r="F28" s="15"/>
      <c r="G28" s="15"/>
      <c r="H28" s="61"/>
      <c r="I28" s="59"/>
      <c r="J28" s="86"/>
      <c r="K28" s="61"/>
      <c r="L28" s="61"/>
      <c r="M28" s="61"/>
    </row>
    <row r="29" spans="1:13" ht="15.75" customHeight="1">
      <c r="A29" s="6"/>
      <c r="B29" s="15"/>
      <c r="C29" s="63"/>
      <c r="D29" s="63"/>
      <c r="E29" s="15"/>
      <c r="F29" s="15"/>
      <c r="G29" s="15"/>
      <c r="H29" s="61"/>
      <c r="I29" s="59"/>
      <c r="J29" s="86"/>
      <c r="K29" s="61"/>
      <c r="L29" s="61"/>
      <c r="M29" s="61"/>
    </row>
    <row r="30" spans="1:13" ht="15.75" customHeight="1">
      <c r="A30" s="6"/>
      <c r="B30" s="15"/>
      <c r="C30" s="63"/>
      <c r="D30" s="63"/>
      <c r="E30" s="15"/>
      <c r="F30" s="15"/>
      <c r="G30" s="15"/>
      <c r="H30" s="61"/>
      <c r="I30" s="59"/>
      <c r="J30" s="86"/>
      <c r="K30" s="61"/>
      <c r="L30" s="61"/>
      <c r="M30" s="61"/>
    </row>
    <row r="31" spans="1:13" ht="15.75" customHeight="1">
      <c r="I31" s="59"/>
      <c r="J31" s="86"/>
    </row>
    <row r="32" spans="1:13" ht="15.75" customHeight="1">
      <c r="I32" s="59"/>
      <c r="J32" s="86"/>
    </row>
    <row r="33" spans="9:10" ht="15.75" customHeight="1">
      <c r="I33" s="59"/>
      <c r="J33" s="86"/>
    </row>
    <row r="34" spans="9:10" ht="15.75" customHeight="1">
      <c r="I34" s="59"/>
      <c r="J34" s="86"/>
    </row>
    <row r="35" spans="9:10" ht="15.75" customHeight="1">
      <c r="I35" s="59"/>
      <c r="J35" s="86"/>
    </row>
    <row r="36" spans="9:10" ht="15.75" customHeight="1">
      <c r="I36" s="59"/>
      <c r="J36" s="86"/>
    </row>
    <row r="37" spans="9:10" ht="15.75" customHeight="1">
      <c r="I37" s="59"/>
      <c r="J37" s="86"/>
    </row>
    <row r="38" spans="9:10" ht="15.75" customHeight="1">
      <c r="I38" s="59"/>
      <c r="J38" s="86"/>
    </row>
    <row r="39" spans="9:10" ht="15.75" customHeight="1">
      <c r="I39" s="59"/>
      <c r="J39" s="86"/>
    </row>
    <row r="40" spans="9:10" ht="15.75" customHeight="1">
      <c r="I40" s="59"/>
      <c r="J40" s="86"/>
    </row>
    <row r="41" spans="9:10" ht="15.75" customHeight="1">
      <c r="I41" s="59"/>
      <c r="J41" s="86"/>
    </row>
    <row r="42" spans="9:10" ht="15.75" customHeight="1">
      <c r="I42" s="59"/>
      <c r="J42" s="86"/>
    </row>
    <row r="43" spans="9:10" ht="15.75" customHeight="1">
      <c r="I43" s="59"/>
      <c r="J43" s="86"/>
    </row>
    <row r="44" spans="9:10" ht="15.75" customHeight="1">
      <c r="I44" s="59"/>
      <c r="J44" s="86"/>
    </row>
    <row r="45" spans="9:10" ht="15.75" customHeight="1">
      <c r="I45" s="59"/>
      <c r="J45" s="86"/>
    </row>
    <row r="46" spans="9:10" ht="15.75" customHeight="1">
      <c r="I46" s="59"/>
      <c r="J46" s="86"/>
    </row>
    <row r="47" spans="9:10" ht="15.75" customHeight="1">
      <c r="I47" s="59"/>
      <c r="J47" s="86"/>
    </row>
    <row r="48" spans="9:10" ht="15.75" customHeight="1">
      <c r="I48" s="59"/>
      <c r="J48" s="86"/>
    </row>
    <row r="49" spans="9:10" ht="15.75" customHeight="1">
      <c r="I49" s="59"/>
      <c r="J49" s="86"/>
    </row>
    <row r="50" spans="9:10" ht="15.75" customHeight="1">
      <c r="I50" s="59"/>
      <c r="J50" s="86"/>
    </row>
    <row r="51" spans="9:10" ht="15.75" customHeight="1">
      <c r="I51" s="59"/>
      <c r="J51" s="86"/>
    </row>
    <row r="52" spans="9:10" ht="15.75" customHeight="1">
      <c r="I52" s="59"/>
      <c r="J52" s="86"/>
    </row>
    <row r="53" spans="9:10" ht="15.75" customHeight="1">
      <c r="I53" s="59"/>
      <c r="J53" s="86"/>
    </row>
    <row r="54" spans="9:10" ht="15.75" customHeight="1">
      <c r="I54" s="59"/>
      <c r="J54" s="86"/>
    </row>
    <row r="55" spans="9:10" ht="15.75" customHeight="1">
      <c r="I55" s="59"/>
      <c r="J55" s="86"/>
    </row>
    <row r="56" spans="9:10" ht="15.75" customHeight="1">
      <c r="I56" s="59"/>
      <c r="J56" s="86"/>
    </row>
    <row r="57" spans="9:10" ht="15.75" customHeight="1">
      <c r="I57" s="59"/>
      <c r="J57" s="86"/>
    </row>
    <row r="58" spans="9:10" ht="15.75" customHeight="1">
      <c r="I58" s="59"/>
      <c r="J58" s="86"/>
    </row>
    <row r="59" spans="9:10" ht="15.75" customHeight="1">
      <c r="I59" s="59"/>
      <c r="J59" s="86"/>
    </row>
    <row r="60" spans="9:10" ht="15.75" customHeight="1">
      <c r="I60" s="59"/>
      <c r="J60" s="86"/>
    </row>
    <row r="61" spans="9:10" ht="15.75" customHeight="1">
      <c r="I61" s="59"/>
      <c r="J61" s="86"/>
    </row>
    <row r="62" spans="9:10" ht="15.75" customHeight="1">
      <c r="I62" s="59"/>
      <c r="J62" s="86"/>
    </row>
    <row r="63" spans="9:10" ht="15.75" customHeight="1">
      <c r="I63" s="59"/>
      <c r="J63" s="86"/>
    </row>
    <row r="64" spans="9:10" ht="15.75" customHeight="1">
      <c r="I64" s="59"/>
      <c r="J64" s="86"/>
    </row>
    <row r="65" spans="9:10" ht="15.75" customHeight="1">
      <c r="I65" s="59"/>
      <c r="J65" s="86"/>
    </row>
    <row r="66" spans="9:10" ht="15.75" customHeight="1">
      <c r="I66" s="56"/>
      <c r="J66" s="86"/>
    </row>
    <row r="67" spans="9:10" ht="15.75" customHeight="1">
      <c r="I67" s="59"/>
      <c r="J67" s="86"/>
    </row>
    <row r="68" spans="9:10" ht="15.75" customHeight="1">
      <c r="I68" s="59"/>
      <c r="J68" s="86"/>
    </row>
    <row r="69" spans="9:10" ht="15.75" customHeight="1">
      <c r="I69" s="59"/>
      <c r="J69" s="86"/>
    </row>
    <row r="70" spans="9:10" ht="15.75" customHeight="1">
      <c r="I70" s="59"/>
      <c r="J70" s="86"/>
    </row>
    <row r="71" spans="9:10" ht="15.75" customHeight="1">
      <c r="I71" s="56"/>
      <c r="J71" s="86"/>
    </row>
    <row r="72" spans="9:10" ht="15.75" customHeight="1">
      <c r="I72" s="59"/>
      <c r="J72" s="86"/>
    </row>
    <row r="73" spans="9:10" ht="15.75" customHeight="1">
      <c r="I73" s="59"/>
      <c r="J73" s="86"/>
    </row>
    <row r="74" spans="9:10" ht="15.75" customHeight="1">
      <c r="I74" s="59"/>
      <c r="J74" s="86"/>
    </row>
    <row r="75" spans="9:10" ht="15.75" customHeight="1"/>
    <row r="76" spans="9:10" ht="15.75" customHeight="1"/>
    <row r="77" spans="9:10" ht="15.75" customHeight="1"/>
    <row r="78" spans="9:10" ht="15.75" customHeight="1"/>
    <row r="79" spans="9:10" ht="15.75" customHeight="1"/>
    <row r="80" spans="9:1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3">
    <cfRule type="containsText" dxfId="1" priority="1" operator="containsText" text="hola">
      <formula>NOT(ISERROR(SEARCH(("hola"),(H3))))</formula>
    </cfRule>
  </conditionalFormatting>
  <conditionalFormatting sqref="H3">
    <cfRule type="containsText" dxfId="0" priority="2" operator="containsText" text="hola">
      <formula>NOT(ISERROR(SEARCH(("hola"),(H3))))</formula>
    </cfRule>
  </conditionalFormatting>
  <dataValidations count="2">
    <dataValidation type="list" allowBlank="1" showErrorMessage="1" sqref="C9:C30" xr:uid="{00000000-0002-0000-0300-000000000000}">
      <formula1>"Baró de Viver,Can Baró,Can Peguera,Canyelles,Ciutat Meridiana,Diagonal Mar i el Front Marítim del Poblenou,El Baix Guinardó,El Barri Gòtic,El Besòs i el Maresme,El Bon Pastor,El Camp d'en Grassot i Gràcia Nova,El Camp de l'Arpa del Clot,El Carmel,El Clot,"&amp;"El Coll,El Congrés i els Indians,El Fort Pienc,El Guinardó,El Parc i la Llacuna del Poblenou,El Poble-sec,El Poblenou,El Putxet i el Farró,El Raval,Horta,Hostafrancs,L'Antiga Esquerra de l'Eixample,La Barceloneta,La Bordeta,La Clota,La Dreta de l'Eixample"&amp;",La Font d'en Fargues,La Font de la Guatlla,La Guineueta,La Marina de Port,La Marina del Prat Vermell,La Maternitat i Sant Ramon,La Nova Esquerra de l'Eixample,La Prosperitat,La Sagrada Família,La Sagrera,La Salut,La Teixonera,La Trinitat Nova,La Trinitat"&amp;" Vella,La Vall d'Hebron,La Verneda i la Pau,La Vila Olímpica del Poblenou,Les Corts,Les Roquetes,Les Tres Torres,Montbau,Navas,Pedralbes,Porta,Provençals del Poblenou,Sant Andreu,Sant Antoni,Sant Genís dels Agudells,Sant Gervasi - Galvany,Sant Gervasi - l"&amp;"a Bonanova,Sant Martí de Provençals,Sant Pere, Santa Caterina i la Ribera,Sants,Sants-Badal,Sarrià,Torre Baró,Turó de la Peira,Vallbona,Vallcarca i els Penitents,Vallvidrera, el Tibidabo i les Planes,Verdun,Vila de Gràcia,Vilapicina i la Torre Llobeta,El "&amp;"Barri Gòtic"</formula1>
    </dataValidation>
    <dataValidation type="list" allowBlank="1" showErrorMessage="1" sqref="B6:B30" xr:uid="{00000000-0002-0000-0300-000001000000}">
      <formula1>"Ciutat Vella,Eixample,Gràcia,Horta-Guinardó,Les Corts,Nou Barris,Sant Andreu,Sant Martí ,Sants-Montjuïc,Sarrià-Sant Gervasi"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5F8FA1C9-9892-44B0-8C84-E0F48D2FD898}">
          <x14:formula1>
            <xm:f>Contingut_llista_desplegable!$B$1:$B$10</xm:f>
          </x14:formula1>
          <xm:sqref>B2:B5</xm:sqref>
        </x14:dataValidation>
        <x14:dataValidation type="list" allowBlank="1" showErrorMessage="1" xr:uid="{7BBDB8E2-70AA-4551-BB3A-97542C8DEF8A}">
          <x14:formula1>
            <xm:f>Contingut_llista_desplegable!$I$2:$I$74</xm:f>
          </x14:formula1>
          <xm:sqref>C2:C8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2.5703125" defaultRowHeight="15" customHeight="1"/>
  <cols>
    <col min="1" max="1" width="28.7109375" customWidth="1"/>
    <col min="2" max="2" width="19.28515625" customWidth="1"/>
    <col min="3" max="4" width="20.140625" customWidth="1"/>
    <col min="5" max="27" width="10.5703125" customWidth="1"/>
  </cols>
  <sheetData>
    <row r="1" spans="1:4">
      <c r="A1" s="67" t="s">
        <v>1</v>
      </c>
      <c r="B1" s="68" t="s">
        <v>253</v>
      </c>
      <c r="C1" s="69" t="s">
        <v>254</v>
      </c>
      <c r="D1" s="67" t="s">
        <v>255</v>
      </c>
    </row>
    <row r="2" spans="1:4">
      <c r="A2" s="11" t="s">
        <v>18</v>
      </c>
      <c r="B2" s="70">
        <v>16633.2</v>
      </c>
      <c r="C2" s="6" t="s">
        <v>256</v>
      </c>
      <c r="D2" s="6" t="s">
        <v>189</v>
      </c>
    </row>
    <row r="3" spans="1:4">
      <c r="A3" s="11" t="s">
        <v>257</v>
      </c>
      <c r="B3" s="11"/>
      <c r="C3" s="15"/>
      <c r="D3" s="15"/>
    </row>
    <row r="4" spans="1:4">
      <c r="A4" s="11" t="s">
        <v>258</v>
      </c>
      <c r="B4" s="11"/>
      <c r="C4" s="15"/>
      <c r="D4" s="6"/>
    </row>
    <row r="5" spans="1:4">
      <c r="A5" s="11" t="s">
        <v>259</v>
      </c>
      <c r="B5" s="71">
        <v>15630.7</v>
      </c>
      <c r="C5" s="6" t="s">
        <v>260</v>
      </c>
      <c r="D5" s="6" t="s">
        <v>189</v>
      </c>
    </row>
    <row r="6" spans="1:4">
      <c r="A6" s="11" t="s">
        <v>89</v>
      </c>
      <c r="B6" s="11"/>
      <c r="C6" s="15"/>
      <c r="D6" s="15"/>
    </row>
    <row r="7" spans="1:4">
      <c r="A7" s="11" t="s">
        <v>146</v>
      </c>
      <c r="B7" s="11"/>
      <c r="C7" s="15"/>
      <c r="D7" s="15"/>
    </row>
    <row r="8" spans="1:4">
      <c r="A8" s="11" t="s">
        <v>71</v>
      </c>
      <c r="B8" s="11"/>
      <c r="C8" s="15"/>
      <c r="D8" s="15"/>
    </row>
    <row r="9" spans="1:4">
      <c r="A9" s="11" t="s">
        <v>75</v>
      </c>
      <c r="B9" s="11"/>
      <c r="C9" s="15"/>
      <c r="D9" s="15"/>
    </row>
    <row r="10" spans="1:4">
      <c r="A10" s="11" t="s">
        <v>81</v>
      </c>
      <c r="B10" s="11"/>
      <c r="C10" s="15"/>
      <c r="D10" s="15"/>
    </row>
    <row r="11" spans="1:4">
      <c r="A11" s="11" t="s">
        <v>261</v>
      </c>
      <c r="B11" s="72">
        <v>17671.3</v>
      </c>
      <c r="C11" s="60" t="s">
        <v>262</v>
      </c>
      <c r="D11" s="6" t="s">
        <v>189</v>
      </c>
    </row>
    <row r="12" spans="1:4">
      <c r="A12" s="15" t="s">
        <v>263</v>
      </c>
      <c r="B12" s="15"/>
      <c r="C12" s="15"/>
      <c r="D12" s="15"/>
    </row>
    <row r="13" spans="1:4">
      <c r="A13" s="15" t="s">
        <v>77</v>
      </c>
      <c r="B13" s="15"/>
      <c r="C13" s="15"/>
      <c r="D13" s="15"/>
    </row>
    <row r="14" spans="1:4">
      <c r="A14" s="15" t="s">
        <v>264</v>
      </c>
      <c r="B14" s="15"/>
      <c r="C14" s="15"/>
      <c r="D14" s="15"/>
    </row>
    <row r="17" spans="1:4">
      <c r="A17" s="56" t="s">
        <v>265</v>
      </c>
    </row>
    <row r="18" spans="1:4">
      <c r="A18" s="73" t="s">
        <v>266</v>
      </c>
    </row>
    <row r="19" spans="1:4">
      <c r="A19" s="74" t="s">
        <v>267</v>
      </c>
      <c r="B19" s="75">
        <v>16546</v>
      </c>
    </row>
    <row r="20" spans="1:4">
      <c r="A20" s="76"/>
      <c r="B20" s="77"/>
    </row>
    <row r="21" spans="1:4" ht="15.75" customHeight="1">
      <c r="A21" s="78" t="s">
        <v>268</v>
      </c>
      <c r="B21" s="79" t="s">
        <v>269</v>
      </c>
      <c r="C21" s="56"/>
      <c r="D21" s="56"/>
    </row>
    <row r="22" spans="1:4" ht="15.75" customHeight="1">
      <c r="A22" s="76" t="s">
        <v>270</v>
      </c>
      <c r="B22" s="80" t="s">
        <v>271</v>
      </c>
    </row>
    <row r="23" spans="1:4" ht="15.75" customHeight="1">
      <c r="A23" s="81" t="s">
        <v>272</v>
      </c>
      <c r="B23" s="82" t="s">
        <v>273</v>
      </c>
    </row>
    <row r="24" spans="1:4" ht="15.75" customHeight="1">
      <c r="A24" s="10"/>
      <c r="B24" s="10"/>
    </row>
    <row r="25" spans="1:4" ht="15.75" customHeight="1">
      <c r="A25" s="83" t="s">
        <v>274</v>
      </c>
      <c r="B25" s="84" t="s">
        <v>275</v>
      </c>
    </row>
    <row r="26" spans="1:4" ht="15.75" customHeight="1">
      <c r="A26" s="10"/>
      <c r="B26" s="10"/>
    </row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ErrorMessage="1" sqref="D2:D14" xr:uid="{00000000-0002-0000-0500-000000000000}">
      <formula1>"Alt,Baix,Mig"</formula1>
    </dataValidation>
  </dataValidations>
  <hyperlinks>
    <hyperlink ref="A18" r:id="rId1" xr:uid="{00000000-0004-0000-05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comunicacio@fambitprevencio.org</dc:creator>
  <cp:keywords/>
  <dc:description/>
  <cp:lastModifiedBy>miiguelleon@gmail.com</cp:lastModifiedBy>
  <cp:revision/>
  <dcterms:created xsi:type="dcterms:W3CDTF">2025-02-28T12:26:20Z</dcterms:created>
  <dcterms:modified xsi:type="dcterms:W3CDTF">2025-03-21T15:58:20Z</dcterms:modified>
  <cp:category/>
  <cp:contentStatus/>
</cp:coreProperties>
</file>